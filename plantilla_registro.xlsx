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53" firstSheet="1" activeTab="12"/>
  </bookViews>
  <sheets>
    <sheet name="Competencias y capacidades" sheetId="1" state="hidden" r:id="rId3"/>
    <sheet name="Datos " sheetId="2" state="visible" r:id="rId4"/>
    <sheet name="ARTE" sheetId="3" state="visible" r:id="rId5"/>
    <sheet name="QUE" sheetId="4" state="visible" r:id="rId6"/>
    <sheet name="CYT" sheetId="5" state="visible" r:id="rId7"/>
    <sheet name="CC.SS" sheetId="6" state="visible" r:id="rId8"/>
    <sheet name="COM" sheetId="7" state="visible" r:id="rId9"/>
    <sheet name="DPCC" sheetId="8" state="visible" r:id="rId10"/>
    <sheet name="E.FIS" sheetId="9" state="visible" r:id="rId11"/>
    <sheet name="EPT" sheetId="10" state="visible" r:id="rId12"/>
    <sheet name="E.REL" sheetId="11" state="visible" r:id="rId13"/>
    <sheet name="ING" sheetId="12" state="visible" r:id="rId14"/>
    <sheet name="MAT" sheetId="13" state="visible" r:id="rId15"/>
  </sheets>
  <externalReferences>
    <externalReference r:id="rId16"/>
    <externalReference r:id="rId17"/>
  </externalReferences>
  <definedNames>
    <definedName function="false" hidden="false" localSheetId="1" name="_xlnm.Print_Area" vbProcedure="false">'Datos '!$A$1:$D$46</definedName>
    <definedName function="false" hidden="false" name="areas" vbProcedure="false">'Competencias y capacidades'!$A$2:$A$13</definedName>
    <definedName function="false" hidden="false" name="GRADOS" vbProcedure="false">'Datos '!$Z$5:$Z$5</definedName>
    <definedName function="false" hidden="false" name="ltBloq" vbProcedure="false">[2]Generalidades!$U$2</definedName>
    <definedName function="false" hidden="false" name="SECCIONES" vbProcedure="false">'Datos '!$Y$5:$Y$5</definedName>
    <definedName function="false" hidden="false" localSheetId="0" name="GRADOS" vbProcedure="false">'[1]Datos Generales'!$I$5:$I$9</definedName>
    <definedName function="false" hidden="false" localSheetId="0" name="SECCIONES" vbProcedure="false">'[1]Datos Generales'!$H$5:$H$9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<sst xmlns="http://schemas.openxmlformats.org/spreadsheetml/2006/main" count="1853" uniqueCount="216">
  <si>
    <t xml:space="preserve">Áreas</t>
  </si>
  <si>
    <t xml:space="preserve">Competencia1</t>
  </si>
  <si>
    <t xml:space="preserve">Competencia2</t>
  </si>
  <si>
    <t xml:space="preserve">Competencia3</t>
  </si>
  <si>
    <t xml:space="preserve">Competencia4</t>
  </si>
  <si>
    <t xml:space="preserve">Area</t>
  </si>
  <si>
    <t xml:space="preserve">Competencia </t>
  </si>
  <si>
    <t xml:space="preserve">Capacidad1</t>
  </si>
  <si>
    <t xml:space="preserve">Capacidad2</t>
  </si>
  <si>
    <t xml:space="preserve">Capacidad3</t>
  </si>
  <si>
    <t xml:space="preserve">Capacidad4</t>
  </si>
  <si>
    <t xml:space="preserve">Capacidad5</t>
  </si>
  <si>
    <t xml:space="preserve">Capacidad6</t>
  </si>
  <si>
    <t xml:space="preserve">ARTE Y CULTURA</t>
  </si>
  <si>
    <t xml:space="preserve">Aprecia de manera crítica manifestaciones artistico-culturales</t>
  </si>
  <si>
    <t xml:space="preserve">Crea proyectos desde los lenguajes artisticos</t>
  </si>
  <si>
    <t xml:space="preserve">DESARROLLO PERSONAL, CIUDADANÍA Y CÍVICA</t>
  </si>
  <si>
    <t xml:space="preserve">Construye su identidad</t>
  </si>
  <si>
    <t xml:space="preserve">Se valora a sí mismo</t>
  </si>
  <si>
    <t xml:space="preserve">Autorregula sus emociones</t>
  </si>
  <si>
    <t xml:space="preserve">Reflexiona y argumenta éticamente</t>
  </si>
  <si>
    <t xml:space="preserve">Vive su sexualidad de manera integral y responsable de acuerdo a su etapa de desarrollo y madurez.</t>
  </si>
  <si>
    <t xml:space="preserve">CASTELLANO COMO SEGUNDA LENGUA</t>
  </si>
  <si>
    <t xml:space="preserve">Se comunica oralmente en castellano como segunda lengua</t>
  </si>
  <si>
    <t xml:space="preserve">Lee diversos tipos de textos escritos en castellano como segunda lengua</t>
  </si>
  <si>
    <t xml:space="preserve">Escribe diversos tipos de textos en castellano como segunda lengua</t>
  </si>
  <si>
    <t xml:space="preserve">Convive y participa democráticamente en la búsqueda del bien común</t>
  </si>
  <si>
    <t xml:space="preserve">Interactúa con todas las personas</t>
  </si>
  <si>
    <t xml:space="preserve">Construye y asume acuerdos y normas</t>
  </si>
  <si>
    <t xml:space="preserve">Maneja conflictos de manera constructiva</t>
  </si>
  <si>
    <t xml:space="preserve">Delibera sobre asuntos públicos</t>
  </si>
  <si>
    <t xml:space="preserve">Participa en acciones que promueven el bienestar común</t>
  </si>
  <si>
    <t xml:space="preserve">CIENCIA Y TECNOLOGÍA</t>
  </si>
  <si>
    <t xml:space="preserve">Indaga mediante métodos cientificos para construir conocimientos</t>
  </si>
  <si>
    <t xml:space="preserve">Explica el mundo físico basándose en conocimientos sobre los seres vivos; materia y energía; biodiversidad, Tierra y universo</t>
  </si>
  <si>
    <t xml:space="preserve">Diseña y construye soluciones tecnológicas para resolver problemas de su entorno</t>
  </si>
  <si>
    <t xml:space="preserve">CIENCIAS SOCIALES</t>
  </si>
  <si>
    <t xml:space="preserve">Construye interpretaciones históricas</t>
  </si>
  <si>
    <t xml:space="preserve">Interpreta críticamente fuentes diversas</t>
  </si>
  <si>
    <t xml:space="preserve">Comprende el tiempo histórico</t>
  </si>
  <si>
    <t xml:space="preserve">Explica y argumenta procesos históricos</t>
  </si>
  <si>
    <t xml:space="preserve">Gestiona responsablemente el espacio y el ambiente</t>
  </si>
  <si>
    <t xml:space="preserve">Gestiona responsablemente los recursos económicos</t>
  </si>
  <si>
    <t xml:space="preserve">Comprende las relaciones entre los elementos naturales y sociales</t>
  </si>
  <si>
    <t xml:space="preserve">Maneja fuentes de información para comprender el espacio geográfico y el ambiente</t>
  </si>
  <si>
    <t xml:space="preserve">Genera acciones para preservar el ambiente local y global</t>
  </si>
  <si>
    <t xml:space="preserve">COMUNICACIÓN</t>
  </si>
  <si>
    <t xml:space="preserve">Se comunica oralmente en su lengua materna</t>
  </si>
  <si>
    <t xml:space="preserve">Lee diversos tipos de textos escritos en su lengua materna</t>
  </si>
  <si>
    <t xml:space="preserve">Escribe diversos tipos de textos en lengua materna</t>
  </si>
  <si>
    <t xml:space="preserve">Comprende las relaciones entre los elementos del sistema económico y financiero</t>
  </si>
  <si>
    <t xml:space="preserve">Toma decisiones económicas y financieras</t>
  </si>
  <si>
    <t xml:space="preserve">QUECHUA</t>
  </si>
  <si>
    <t xml:space="preserve">EDUCACIÓN RELIGIOSA</t>
  </si>
  <si>
    <t xml:space="preserve">Construye su identidad como persona humana, amada por Dios, digna, libre y trascendente, comprendiendo la doctrina de su propia religión, abierto al diálogo con las que le son cercanas</t>
  </si>
  <si>
    <t xml:space="preserve">Conoce a Dios y asume su identidad religiosa como persona digna, libre y trascendente</t>
  </si>
  <si>
    <t xml:space="preserve">Cultiva y valora las manifestaciones religiosas de su entorno argumentando su fe de manera comprensible y respetuosa</t>
  </si>
  <si>
    <t xml:space="preserve">Asume la experiencia del encuentro personal y comunitario con Dios en su proyecto de vida en coherencia con su creencia religiosa</t>
  </si>
  <si>
    <t xml:space="preserve">Transforma su entorno desde el encuentro personal y comunitario con Dios y desde la fe que profesa</t>
  </si>
  <si>
    <t xml:space="preserve">Actúa coherentemente en razón de su fe según los principios de su conciencia moral en situaciones concretas de la vida.</t>
  </si>
  <si>
    <t xml:space="preserve">EDUCACIÓN FÍSICA</t>
  </si>
  <si>
    <t xml:space="preserve">Se desenvuelve de manera autónoma a través de su motricidad</t>
  </si>
  <si>
    <t xml:space="preserve">Asume una vida saludable</t>
  </si>
  <si>
    <t xml:space="preserve">Interactúa a través de sus habilidades sociomotrices</t>
  </si>
  <si>
    <t xml:space="preserve">EDUCACIÓN PARA EL TRABAJO</t>
  </si>
  <si>
    <t xml:space="preserve">Gestiona proyectos de emprendimiento económico o social</t>
  </si>
  <si>
    <t xml:space="preserve">Crea propuestas de valor</t>
  </si>
  <si>
    <t xml:space="preserve">Trabaja cooperativamente para lograr objetivos y metas</t>
  </si>
  <si>
    <t xml:space="preserve">Aplica habilidades técnicas</t>
  </si>
  <si>
    <t xml:space="preserve">Evalúa los resultados del proyecto de emprendimiento</t>
  </si>
  <si>
    <t xml:space="preserve">Comprende su cuerpo</t>
  </si>
  <si>
    <t xml:space="preserve">Se expresa corporalmente</t>
  </si>
  <si>
    <t xml:space="preserve">Comprende las relaciones entre la actividad física, alimentación, postura e higiene y la salud</t>
  </si>
  <si>
    <t xml:space="preserve">Incorpora prácticas que mejoran su calidad de vida</t>
  </si>
  <si>
    <t xml:space="preserve">INGLÉS</t>
  </si>
  <si>
    <t xml:space="preserve">Se comunica oralmente en inglés como lengua extranjera</t>
  </si>
  <si>
    <t xml:space="preserve">Lee diversos tipos de textos escritos en inglés como lengua extranjera</t>
  </si>
  <si>
    <t xml:space="preserve">Escribe diversos tipos de textos en inglés como lengua extranjera</t>
  </si>
  <si>
    <t xml:space="preserve">Se relaciona utilizando sus habilidades sociomotrices</t>
  </si>
  <si>
    <t xml:space="preserve">Crea y aplica estrategias y tácticas de juego</t>
  </si>
  <si>
    <t xml:space="preserve">MATEMÁTICA</t>
  </si>
  <si>
    <t xml:space="preserve">Resuelve problemas de cantidad</t>
  </si>
  <si>
    <t xml:space="preserve">Resuelve problemas de regularidad, equivalencia y cambio</t>
  </si>
  <si>
    <t xml:space="preserve">Resuelve problemas de forma, movimiento y localización</t>
  </si>
  <si>
    <t xml:space="preserve">Resuelve problemas de gestión de datos e incertidumbre</t>
  </si>
  <si>
    <t xml:space="preserve">Obtiene información de textos orales</t>
  </si>
  <si>
    <t xml:space="preserve">Infiere e interpreta información de textos orales</t>
  </si>
  <si>
    <t xml:space="preserve">Adecua, organiza y desarrolla las ideas de forma coherente y cohesionada</t>
  </si>
  <si>
    <t xml:space="preserve">Utiliza recursos no verbales y paraverbales de forma estratégica</t>
  </si>
  <si>
    <t xml:space="preserve">Interactúa estratégicamente con distintos interlocutores</t>
  </si>
  <si>
    <t xml:space="preserve">Reflexiona y evalúa la forma, el contenido y el contexto del texto oral</t>
  </si>
  <si>
    <t xml:space="preserve">Obtiene información del texto escrito</t>
  </si>
  <si>
    <t xml:space="preserve">Infiere e interpreta información del texto</t>
  </si>
  <si>
    <t xml:space="preserve">Reflexiona y evalúa la forma, el contenido y el contexto del texto escrito</t>
  </si>
  <si>
    <t xml:space="preserve">Adecúa el texto a la situación comunicativa</t>
  </si>
  <si>
    <t xml:space="preserve">Organiza y desarrolla las ideas de forma coherente y cohesionada</t>
  </si>
  <si>
    <t xml:space="preserve">Utiliza convenciones del lenguaje escrito de forma pertinente</t>
  </si>
  <si>
    <t xml:space="preserve">Percibe manifestaciones artistico-culturales</t>
  </si>
  <si>
    <t xml:space="preserve">Contextualiza las manifestaciones artistico-culturales</t>
  </si>
  <si>
    <t xml:space="preserve">Reflexiona creativa y críticamente sobre las manifestaciones artistico- culturales</t>
  </si>
  <si>
    <t xml:space="preserve">Explora y experimenta los lenguajes de las artes</t>
  </si>
  <si>
    <t xml:space="preserve">Aplica procesos de creación</t>
  </si>
  <si>
    <t xml:space="preserve">Evalúa y comunica sus procesos y proyectos</t>
  </si>
  <si>
    <t xml:space="preserve">Adecúa, organiza y desarrolla las ideas de forma coherente y cohesionada</t>
  </si>
  <si>
    <t xml:space="preserve"> Infiere e interpreta información de textos orales</t>
  </si>
  <si>
    <t xml:space="preserve">Traduce cantidades a expresiones numéricas</t>
  </si>
  <si>
    <t xml:space="preserve">Comunica su comprensión sobre los números y las operaciones</t>
  </si>
  <si>
    <t xml:space="preserve">Usa estrategias y procedimientos de estimación y cálculo</t>
  </si>
  <si>
    <t xml:space="preserve">Argumenta afirmaciones sobre las relaciones numéricas y las operaciones</t>
  </si>
  <si>
    <t xml:space="preserve">Traduce datos y condiciones a expresiones algebraicas</t>
  </si>
  <si>
    <t xml:space="preserve">Comunica su comprensión sobre las relaciones algebraicas</t>
  </si>
  <si>
    <t xml:space="preserve">Usa estrategias y procedimientos para encontrar reglas generales</t>
  </si>
  <si>
    <t xml:space="preserve">Argumenta afirmaciones sobre relaciones de cambio y equivalencia</t>
  </si>
  <si>
    <t xml:space="preserve">Modela objetos con formas geométricas y sus transformaciones</t>
  </si>
  <si>
    <t xml:space="preserve">Comunica su comprensión sobre las formas y relaciones geométricas</t>
  </si>
  <si>
    <t xml:space="preserve">Usa estrategias y procedimientos para orientarse en el espacio</t>
  </si>
  <si>
    <t xml:space="preserve">Argumenta afirmaciones sobre relaciones geométricas</t>
  </si>
  <si>
    <t xml:space="preserve">Representa datos con gráficos y medidas estadísticas o probabilísticas</t>
  </si>
  <si>
    <t xml:space="preserve">Comunica la comprensión de los conceptos estadísticos y probabilísticos</t>
  </si>
  <si>
    <t xml:space="preserve">Usa estrategias y procedimientos para recopilar y procesar datos</t>
  </si>
  <si>
    <t xml:space="preserve">Sustenta conclusiones o decisiones basado en información obtenida</t>
  </si>
  <si>
    <t xml:space="preserve">Problematiza situaciones</t>
  </si>
  <si>
    <t xml:space="preserve">Diseña estrategias para hacer indagación</t>
  </si>
  <si>
    <t xml:space="preserve">Genera y registra datos e información</t>
  </si>
  <si>
    <t xml:space="preserve">Analiza datos e información</t>
  </si>
  <si>
    <t xml:space="preserve">Evalúa y comunica el proceso y los resultados de su indagación</t>
  </si>
  <si>
    <t xml:space="preserve">Comprende y usa conocimientos sobre los seres vivos; materia y energía; biodiversidad, Tierra y universo</t>
  </si>
  <si>
    <t xml:space="preserve"> Evalúa las implicancias del saber y del quehacer cientifico y tecnológico</t>
  </si>
  <si>
    <t xml:space="preserve">Determina una alternativa de solución tecnológica</t>
  </si>
  <si>
    <t xml:space="preserve"> Diseña la alternativa de solución tecnológica</t>
  </si>
  <si>
    <t xml:space="preserve">Implementa y valida alternativas de solución tecnológica</t>
  </si>
  <si>
    <t xml:space="preserve">Evalúa y comunica el funcionamiento y los impactos de su alternativa de solución tecnológica</t>
  </si>
  <si>
    <t xml:space="preserve">1ro</t>
  </si>
  <si>
    <t xml:space="preserve">2do</t>
  </si>
  <si>
    <t xml:space="preserve">3ro</t>
  </si>
  <si>
    <t xml:space="preserve">4to</t>
  </si>
  <si>
    <t xml:space="preserve">5to</t>
  </si>
  <si>
    <t xml:space="preserve">"A"</t>
  </si>
  <si>
    <t xml:space="preserve">"B"</t>
  </si>
  <si>
    <t xml:space="preserve">"C"</t>
  </si>
  <si>
    <t xml:space="preserve">"D"</t>
  </si>
  <si>
    <t xml:space="preserve">"E"</t>
  </si>
  <si>
    <t xml:space="preserve">"F"</t>
  </si>
  <si>
    <t xml:space="preserve">"G"</t>
  </si>
  <si>
    <t xml:space="preserve">"H"</t>
  </si>
  <si>
    <t xml:space="preserve">"I"</t>
  </si>
  <si>
    <t xml:space="preserve">AD</t>
  </si>
  <si>
    <t xml:space="preserve">A</t>
  </si>
  <si>
    <t xml:space="preserve">B</t>
  </si>
  <si>
    <t xml:space="preserve">C</t>
  </si>
  <si>
    <t xml:space="preserve">GRADO</t>
  </si>
  <si>
    <t xml:space="preserve">SECCIÓN</t>
  </si>
  <si>
    <t xml:space="preserve">E</t>
  </si>
  <si>
    <t xml:space="preserve">5°</t>
  </si>
  <si>
    <t xml:space="preserve">N°</t>
  </si>
  <si>
    <t xml:space="preserve">DNI</t>
  </si>
  <si>
    <t xml:space="preserve">Apellidos y Nombres</t>
  </si>
  <si>
    <t xml:space="preserve">REGISTRO DE EVALUACIÓN NIVEL SECUNDARIA III BIMESTRE 2026</t>
  </si>
  <si>
    <t xml:space="preserve">DOCENTE:</t>
  </si>
  <si>
    <t xml:space="preserve">GRADO:</t>
  </si>
  <si>
    <t xml:space="preserve">CELULAR</t>
  </si>
  <si>
    <t xml:space="preserve">ÁREA:</t>
  </si>
  <si>
    <t xml:space="preserve">SECCIÓN:</t>
  </si>
  <si>
    <t xml:space="preserve">FECHA DE ENTREGA</t>
  </si>
  <si>
    <t xml:space="preserve">Nº DE ORDEN</t>
  </si>
  <si>
    <t xml:space="preserve">
APELLIDOS Y NOMBRES</t>
  </si>
  <si>
    <t xml:space="preserve">CUARTO BIMESTRE</t>
  </si>
  <si>
    <t xml:space="preserve">CALIFICACIÓN DEL ÁREA</t>
  </si>
  <si>
    <t xml:space="preserve">III BIMESTRE</t>
  </si>
  <si>
    <t xml:space="preserve">COMPETENCIA 01</t>
  </si>
  <si>
    <t xml:space="preserve">COMPETENCIA 02</t>
  </si>
  <si>
    <t xml:space="preserve">COMPETENCIA 03</t>
  </si>
  <si>
    <t xml:space="preserve">COMPETENCIA 04</t>
  </si>
  <si>
    <t xml:space="preserve">COMPETENCIAS TRANSVERSALES</t>
  </si>
  <si>
    <t xml:space="preserve">CONCLUSIÓN DESCRIPTIVA</t>
  </si>
  <si>
    <t xml:space="preserve">Se desenvuelve en entornos virtuales generados por las TIC</t>
  </si>
  <si>
    <t xml:space="preserve">Gestiona su aprendizaje de manera autónoma</t>
  </si>
  <si>
    <t xml:space="preserve">COMPETENCIA 1</t>
  </si>
  <si>
    <t xml:space="preserve">COMPETENCIA 2</t>
  </si>
  <si>
    <t xml:space="preserve">COMPETENCIA 3</t>
  </si>
  <si>
    <t xml:space="preserve">COMPETENCIA 4</t>
  </si>
  <si>
    <t xml:space="preserve">PROMEDIO DEL AREA</t>
  </si>
  <si>
    <t xml:space="preserve">COMPETENCIA  TRASVERSAL 1</t>
  </si>
  <si>
    <t xml:space="preserve">COMPETENCIA  TRASVERSAL 2</t>
  </si>
  <si>
    <t xml:space="preserve">NIVEL DE LOGRO</t>
  </si>
  <si>
    <t xml:space="preserve">CO1</t>
  </si>
  <si>
    <t xml:space="preserve">NIVEL DEL LOGRO</t>
  </si>
  <si>
    <t xml:space="preserve">CO2</t>
  </si>
  <si>
    <t xml:space="preserve">CO3</t>
  </si>
  <si>
    <t xml:space="preserve">CO4</t>
  </si>
  <si>
    <t xml:space="preserve">Personaliza entornos virtuales</t>
  </si>
  <si>
    <t xml:space="preserve">Gestiona información del entorno virtual</t>
  </si>
  <si>
    <t xml:space="preserve">Interactúa en entornos virtuales</t>
  </si>
  <si>
    <t xml:space="preserve">Crea objetos virtuales en diversos formatos</t>
  </si>
  <si>
    <t xml:space="preserve">VALORACIÓN</t>
  </si>
  <si>
    <t xml:space="preserve">Define metas de aprendizaje</t>
  </si>
  <si>
    <t xml:space="preserve">Organiza acciones estratégicas para alcanzar sus metas de aprendizaje</t>
  </si>
  <si>
    <t xml:space="preserve">Monitorea y ajusta su desempeño durante el proceso de aprendizaje</t>
  </si>
  <si>
    <t xml:space="preserve">CONCLUSIONES DESCRIPTIVAS DEL AREA</t>
  </si>
  <si>
    <t xml:space="preserve">CAPACIDAD 1</t>
  </si>
  <si>
    <t xml:space="preserve">CAPACIDAD 2</t>
  </si>
  <si>
    <t xml:space="preserve">CAPACIDAD 3</t>
  </si>
  <si>
    <t xml:space="preserve">CAPACIDAD4</t>
  </si>
  <si>
    <t xml:space="preserve">CAPACIDAD 5</t>
  </si>
  <si>
    <t xml:space="preserve">CAPACIDAD 6</t>
  </si>
  <si>
    <t xml:space="preserve">PROMEDIO</t>
  </si>
  <si>
    <t xml:space="preserve">f</t>
  </si>
  <si>
    <t xml:space="preserve">%</t>
  </si>
  <si>
    <t xml:space="preserve">Evaluados</t>
  </si>
  <si>
    <t xml:space="preserve">MATRICULADOS:</t>
  </si>
  <si>
    <t xml:space="preserve">Nivel de logro</t>
  </si>
  <si>
    <t xml:space="preserve">NO EVALUADOS:</t>
  </si>
  <si>
    <t xml:space="preserve">EVALUADOS:</t>
  </si>
  <si>
    <t xml:space="preserve">APROBADOS:</t>
  </si>
  <si>
    <t xml:space="preserve">DESAPROBADOS:</t>
  </si>
  <si>
    <t xml:space="preserve">TOTALES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</si>
</sst>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0"/>
    <numFmt numFmtId="167" formatCode="00.00"/>
    <numFmt numFmtId="168" formatCode="0.00"/>
    <numFmt numFmtId="169" formatCode="0%"/>
    <numFmt numFmtId="170" formatCode="0"/>
    <numFmt numFmtId="171" formatCode="0.00%"/>
    <numFmt numFmtId="172" formatCode="&quot;11-13&quot;"/>
  </numFmts>
  <fonts count="3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theme="1"/>
      <name val="Tahoma"/>
      <family val="2"/>
      <charset val="1"/>
    </font>
    <font>
      <sz val="11"/>
      <name val="Calibri"/>
      <family val="2"/>
      <charset val="1"/>
    </font>
    <font>
      <sz val="9"/>
      <name val="Book Antiqua"/>
      <family val="1"/>
      <charset val="1"/>
    </font>
    <font>
      <b val="true"/>
      <sz val="16"/>
      <color theme="1"/>
      <name val="Arial Black"/>
      <family val="2"/>
      <charset val="1"/>
    </font>
    <font>
      <b val="true"/>
      <sz val="20"/>
      <color theme="1"/>
      <name val="Arial Black"/>
      <family val="2"/>
      <charset val="1"/>
    </font>
    <font>
      <b val="true"/>
      <sz val="10"/>
      <color theme="1"/>
      <name val="Arial Narrow"/>
      <family val="2"/>
      <charset val="1"/>
    </font>
    <font>
      <sz val="12"/>
      <color theme="1"/>
      <name val="Calibri"/>
      <family val="2"/>
      <charset val="1"/>
    </font>
    <font>
      <b val="true"/>
      <sz val="10"/>
      <name val="Arial Narrow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theme="1"/>
      <name val="Arial Narrow"/>
      <family val="2"/>
      <charset val="1"/>
    </font>
    <font>
      <sz val="12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9"/>
      <color rgb="FF000080"/>
      <name val="Arial"/>
      <family val="2"/>
      <charset val="1"/>
    </font>
    <font>
      <b val="true"/>
      <sz val="4"/>
      <color rgb="FF00008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sz val="10"/>
      <color rgb="FF000080"/>
      <name val="Arial"/>
      <family val="2"/>
      <charset val="1"/>
    </font>
    <font>
      <sz val="16"/>
      <name val="Arial"/>
      <family val="2"/>
      <charset val="1"/>
    </font>
    <font>
      <sz val="9"/>
      <color rgb="FF000000"/>
      <name val="Arial"/>
      <family val="0"/>
    </font>
    <font>
      <b val="true"/>
      <sz val="16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/>
        <bgColor rgb="FFE6E0EC"/>
      </patternFill>
    </fill>
    <fill>
      <patternFill patternType="solid">
        <fgColor theme="7" tint="0.5999"/>
        <bgColor rgb="FFBFBFBF"/>
      </patternFill>
    </fill>
    <fill>
      <patternFill patternType="solid">
        <fgColor theme="4" tint="0.7999"/>
        <bgColor rgb="FFDBEEF4"/>
      </patternFill>
    </fill>
    <fill>
      <patternFill patternType="solid">
        <fgColor theme="9" tint="0.5999"/>
        <bgColor rgb="FFF2DCDB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0"/>
        <bgColor rgb="FFEEECE1"/>
      </patternFill>
    </fill>
    <fill>
      <patternFill patternType="solid">
        <fgColor theme="0" tint="-0.25"/>
        <bgColor rgb="FFCCC1DA"/>
      </patternFill>
    </fill>
    <fill>
      <patternFill patternType="solid">
        <fgColor theme="5" tint="0.5999"/>
        <bgColor rgb="FFCCC1DA"/>
      </patternFill>
    </fill>
    <fill>
      <patternFill patternType="solid">
        <fgColor theme="5" tint="0.7999"/>
        <bgColor rgb="FFE6E0EC"/>
      </patternFill>
    </fill>
    <fill>
      <patternFill patternType="solid">
        <fgColor theme="8" tint="0.7999"/>
        <bgColor rgb="FFDCE6F2"/>
      </patternFill>
    </fill>
    <fill>
      <patternFill patternType="solid">
        <fgColor theme="3" tint="0.5999"/>
        <bgColor rgb="FF93CDDD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true">
      <left style="thin"/>
      <right style="thin"/>
      <top style="thin"/>
      <bottom style="thin"/>
      <diagonal style="thin"/>
    </border>
    <border diagonalUp="false" diagonalDown="false">
      <left style="thin"/>
      <right style="thin"/>
      <top/>
      <bottom style="dotted"/>
      <diagonal/>
    </border>
    <border diagonalUp="false" diagonalDown="false">
      <left style="thin"/>
      <right style="medium"/>
      <top/>
      <bottom style="dotted"/>
      <diagonal/>
    </border>
    <border diagonalUp="false" diagonalDown="false">
      <left style="medium"/>
      <right style="medium"/>
      <top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/>
      <right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8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6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8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8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7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8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8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9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1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7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8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7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11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11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11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11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11" borderId="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11" borderId="14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14" fillId="0" borderId="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6" fillId="1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13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1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13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1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4" fillId="14" borderId="14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24" fillId="14" borderId="15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25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5" borderId="1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4" fillId="15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4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14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8" fillId="14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7" fillId="1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16" borderId="1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7" fillId="14" borderId="1" xfId="0" applyFont="true" applyBorder="true" applyAlignment="true" applyProtection="true">
      <alignment horizontal="center" vertical="center" textRotation="90" wrapText="true" indent="0" shrinkToFit="false"/>
      <protection locked="true" hidden="true"/>
    </xf>
    <xf numFmtId="164" fontId="24" fillId="14" borderId="1" xfId="0" applyFont="true" applyBorder="true" applyAlignment="true" applyProtection="true">
      <alignment horizontal="center" vertical="center" textRotation="90" wrapText="true" indent="0" shrinkToFit="false"/>
      <protection locked="true" hidden="true"/>
    </xf>
    <xf numFmtId="164" fontId="27" fillId="15" borderId="1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29" fillId="15" borderId="1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9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4" fillId="12" borderId="1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4" fillId="12" borderId="1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29" fillId="1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7" fillId="14" borderId="1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0" fillId="14" borderId="1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1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1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2" fillId="15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0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1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16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11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11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1" fillId="11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1" fillId="11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2" fillId="11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33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3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3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2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4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4" fillId="0" borderId="2" xfId="19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2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29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24" fillId="1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1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0" fontId="29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9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29" fillId="0" borderId="0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9" fillId="0" borderId="1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9" fillId="0" borderId="1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2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1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13" borderId="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1" fontId="0" fillId="13" borderId="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1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dxfs count="540">
    <dxf>
      <font>
        <color rgb="FFFFFFFF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C6D9F1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b val="1"/>
        <i val="0"/>
        <color rgb="FF10243E"/>
      </font>
    </dxf>
    <dxf>
      <font>
        <b val="1"/>
        <i val="0"/>
        <color rgb="FF254061"/>
      </font>
    </dxf>
    <dxf>
      <font>
        <b val="1"/>
        <i val="0"/>
        <color rgb="FFFF9900"/>
      </font>
    </dxf>
    <dxf>
      <font>
        <b val="1"/>
        <i val="0"/>
        <color rgb="FFFF0000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  <dxf>
      <font>
        <color rgb="FF254061"/>
      </font>
    </dxf>
    <dxf>
      <font>
        <color rgb="FFFF0000"/>
      </font>
    </dxf>
    <dxf>
      <font>
        <color rgb="FFE46C0A"/>
      </font>
    </dxf>
    <dxf>
      <font>
        <color rgb="FF10243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B4E3"/>
      <rgbColor rgb="FF993366"/>
      <rgbColor rgb="FFEEECE1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CE6F2"/>
      <rgbColor rgb="FFE6E0EC"/>
      <rgbColor rgb="FFF2DCDB"/>
      <rgbColor rgb="FF93CDDD"/>
      <rgbColor rgb="FFE6B9B8"/>
      <rgbColor rgb="FFCCC1DA"/>
      <rgbColor rgb="FFFCD5B5"/>
      <rgbColor rgb="FF3366FF"/>
      <rgbColor rgb="FF33CCCC"/>
      <rgbColor rgb="FF99CC00"/>
      <rgbColor rgb="FFFFC000"/>
      <rgbColor rgb="FFFF9900"/>
      <rgbColor rgb="FFE46C0A"/>
      <rgbColor rgb="FF666699"/>
      <rgbColor rgb="FF969696"/>
      <rgbColor rgb="FF10243E"/>
      <rgbColor rgb="FF339966"/>
      <rgbColor rgb="FF003300"/>
      <rgbColor rgb="FF333300"/>
      <rgbColor rgb="FF993300"/>
      <rgbColor rgb="FF993366"/>
      <rgbColor rgb="FF333399"/>
      <rgbColor rgb="FF25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externalLink" Target="externalLinks/externalLink1.xml"/><Relationship Id="rId17" Type="http://schemas.openxmlformats.org/officeDocument/2006/relationships/externalLink" Target="externalLinks/externalLink2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550440</xdr:colOff>
      <xdr:row>0</xdr:row>
      <xdr:rowOff>137520</xdr:rowOff>
    </xdr:from>
    <xdr:to>
      <xdr:col>1</xdr:col>
      <xdr:colOff>254520</xdr:colOff>
      <xdr:row>4</xdr:row>
      <xdr:rowOff>156600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550440" y="137520"/>
          <a:ext cx="499680" cy="66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3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4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5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6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7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8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9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0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1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2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3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4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5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6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7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8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9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0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1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2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3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4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5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6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7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8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9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30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31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32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33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34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35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36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37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38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39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40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41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42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43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44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45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46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47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48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49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50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51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52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53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54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55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56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57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58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59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60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61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62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63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64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65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66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67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68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69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70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71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72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73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74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75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76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77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78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79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80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81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82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83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84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85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86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87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88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89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90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91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92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93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94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95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96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97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98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99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00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01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02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03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04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05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06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07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08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09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10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11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12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113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14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15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16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17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18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19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20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21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22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23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24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25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26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27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28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29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30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31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32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33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34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35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36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37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38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39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40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41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42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43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44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45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46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47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48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49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50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51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52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53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54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55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56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57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58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59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60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61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62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63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64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65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66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67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68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69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70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71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72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73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74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75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76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77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78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79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80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81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82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83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84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85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186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87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88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89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90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91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92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93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94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95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96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97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98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99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00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01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02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03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04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05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06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07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08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09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10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11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12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13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14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15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16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17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18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19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20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21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22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23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24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225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226" name="Rectángulo 113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227" name="Conector recto 115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228" name="Imagen 230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29" name="Text Box 1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30" name="Text Box 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31" name="Text Box 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32" name="Text Box 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33" name="Text Box 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34" name="Text Box 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35" name="Text Box 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36" name="Text Box 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37" name="Text Box 1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38" name="Text Box 1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39" name="Text Box 1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40" name="Text Box 1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41" name="Text Box 1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42" name="Text Box 1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43" name="Text Box 1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44" name="Text Box 1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45" name="Text Box 1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46" name="Text Box 1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47" name="Text Box 2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48" name="Text Box 2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249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50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51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52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53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54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55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56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57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58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59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60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61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62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63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64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65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66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67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68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69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70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71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72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73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74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75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76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77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78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79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80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81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82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83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84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85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86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87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88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89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90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91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92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93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94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95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96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97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298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99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300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301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302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303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304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305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306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307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308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309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310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311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312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313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314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315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316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317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318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319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320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321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322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323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324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325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326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327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328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329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330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331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332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333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334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335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336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337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338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339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340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341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342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343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344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345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346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347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348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349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350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351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352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353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354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355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356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357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358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359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360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361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362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363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364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365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366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367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368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369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370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371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372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373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374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375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376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377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378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379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380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381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382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383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384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385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386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387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388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389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390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391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392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393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394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395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396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397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398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399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400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401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402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403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404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405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406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407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408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409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410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411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412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413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414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415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416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417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418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419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420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421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422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423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424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425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426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427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428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429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430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431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432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433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434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435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436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437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438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439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440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441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442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443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444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445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446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447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448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449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450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451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452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453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454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455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456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457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458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459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460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461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462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463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464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465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466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467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468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469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470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471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472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473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474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475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476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477" name="Text Box 2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478" name="Text Box 2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479" name="Text Box 2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480" name="Text Box 2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481" name="Text Box 2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482" name="Text Box 2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483" name="Text Box 2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484" name="Text Box 2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485" name="Text Box 3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486" name="Text Box 3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487" name="Text Box 3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488" name="Text Box 3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489" name="Text Box 3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490" name="Text Box 3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491" name="Text Box 3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492" name="Text Box 3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493" name="Text Box 3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494" name="Text Box 3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495" name="Text Box 4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496" name="Text Box 4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497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498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499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500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501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502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503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504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505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506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507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508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509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510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511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512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513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514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515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516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517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518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519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520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521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522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523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524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525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526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527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528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529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530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531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532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533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534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535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536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537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538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539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540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541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542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543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544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545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546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547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548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549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550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551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552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553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554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555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556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557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558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559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560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561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562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563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564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565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566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567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568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569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570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571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572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573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574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575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576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577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578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579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580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581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582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583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584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585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586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587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588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589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590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591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592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593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594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595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596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597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598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599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600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601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602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603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604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605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606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607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608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609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610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611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612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613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614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615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616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617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618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619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620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621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622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623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624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625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626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627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628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629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630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631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632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633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634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635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636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637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638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639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640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641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642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643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644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645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646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647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648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649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650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651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652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653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654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655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656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657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658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659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660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661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662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663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664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665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666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667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668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669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670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671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672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673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674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675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676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677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678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679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680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681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682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683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684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685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686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687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688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689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690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691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692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693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694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695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696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697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698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699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700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701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702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703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704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705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706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707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708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709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710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711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712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713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714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715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716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717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718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719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720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721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722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723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724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725" name="Text Box 4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726" name="Text Box 4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727" name="Text Box 4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728" name="Text Box 4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729" name="Text Box 4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730" name="Text Box 4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731" name="Text Box 4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732" name="Text Box 4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733" name="Text Box 5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734" name="Text Box 5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735" name="Text Box 5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736" name="Text Box 5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737" name="Text Box 5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738" name="Text Box 5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739" name="Text Box 5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740" name="Text Box 5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741" name="Text Box 5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742" name="Text Box 5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743" name="Text Box 6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744" name="Text Box 6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745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746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747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748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749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750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751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752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753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754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755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756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757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758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759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760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761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762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763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764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765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766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767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768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769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770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771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772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773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774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775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776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777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778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779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780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781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782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783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784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785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786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787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788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789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790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791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792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793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794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795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796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797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798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799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800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801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802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803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804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805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806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807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808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809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810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811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812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813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814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815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816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817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818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819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820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821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822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823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824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825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826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827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828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829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830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831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832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833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834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835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836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837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838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839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840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841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842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843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844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845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846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847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848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849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850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851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852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853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854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855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856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857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858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859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860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861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862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863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864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865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866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867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868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869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870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871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872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873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874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875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876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877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878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879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880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881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882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883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884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885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886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887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888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889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890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891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892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893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894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895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896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897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898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899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900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901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902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903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904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905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906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907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908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909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910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911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912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913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914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915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916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917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918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919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920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921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922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923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924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925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926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927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928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929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930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931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932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933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934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935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936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937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938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939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940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941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942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943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944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945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946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947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948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949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950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951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952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953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954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955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956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957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958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959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960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961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962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963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964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965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966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967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968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969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970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971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972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973" name="Text Box 6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974" name="Text Box 6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975" name="Text Box 6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976" name="Text Box 6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977" name="Text Box 6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978" name="Text Box 6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979" name="Text Box 6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980" name="Text Box 6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981" name="Text Box 7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982" name="Text Box 7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983" name="Text Box 7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984" name="Text Box 7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985" name="Text Box 7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986" name="Text Box 7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987" name="Text Box 7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988" name="Text Box 7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989" name="Text Box 7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990" name="Text Box 7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991" name="Text Box 8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992" name="Text Box 8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993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994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995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996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997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998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999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000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001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002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003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004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005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006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007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008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009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010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011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012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013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014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015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016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017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018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019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020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021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022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023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024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025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026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027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028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029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030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031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032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033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034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035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036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037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038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039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040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041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042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043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044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045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046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047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048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049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050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051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052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053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054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055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056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057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058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059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060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061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062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063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064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065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066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067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068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069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070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071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072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073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074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075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076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077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078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079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080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081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082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083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084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085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086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087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088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089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090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091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092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093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094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095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096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097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098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099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100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101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102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103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104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1105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106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107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108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109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110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111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112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113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114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115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116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117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118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119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120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121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122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123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124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125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126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127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128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129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130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131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132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133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134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135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136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137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138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139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140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141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142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143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144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145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146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147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148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149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150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151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152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153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154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155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156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157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158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159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160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161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162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163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164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165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166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167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168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169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170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171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172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173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174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175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176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177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1178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179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180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181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182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183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184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185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186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187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188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189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190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191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192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193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194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195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196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197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198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199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200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201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202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203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204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205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206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207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208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209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210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211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212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213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214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215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216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217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1218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1219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1220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221" name="Text Box 8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222" name="Text Box 8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223" name="Text Box 8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224" name="Text Box 8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225" name="Text Box 8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226" name="Text Box 8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227" name="Text Box 8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228" name="Text Box 8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229" name="Text Box 9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230" name="Text Box 9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231" name="Text Box 9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232" name="Text Box 9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233" name="Text Box 9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234" name="Text Box 9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235" name="Text Box 9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236" name="Text Box 9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237" name="Text Box 9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238" name="Text Box 9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239" name="Text Box 10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240" name="Text Box 10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241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242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243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244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245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246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247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248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249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250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251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252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253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254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255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256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257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258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259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260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261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262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263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264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265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266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267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268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269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270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271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272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273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274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275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276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277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278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279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280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281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282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283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284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285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286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287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288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289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290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291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292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293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294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295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296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297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298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299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300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301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302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303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304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305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306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307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308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309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310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311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312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313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314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315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316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317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318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319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320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321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322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323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324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325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326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327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328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329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330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331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332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333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334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335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336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337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338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339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340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341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342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343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344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345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346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347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348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349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350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351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352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1353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354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355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356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357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358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359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360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361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362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363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364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365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366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367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368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369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370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371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372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373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374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375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376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377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378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379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380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381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382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383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384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385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386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387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388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389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390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391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392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393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394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395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396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397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398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399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400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401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402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403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404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405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406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407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408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409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410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411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412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413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414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415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416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417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418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419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420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421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422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423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424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425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1426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427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428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429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430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431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432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433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434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435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436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437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438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439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440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441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442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443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444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445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446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447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448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449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450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451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452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453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454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455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456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457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458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459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460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461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462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463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464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465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1466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1467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1468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469" name="Text Box 10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470" name="Text Box 10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471" name="Text Box 10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472" name="Text Box 10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473" name="Text Box 10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474" name="Text Box 10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475" name="Text Box 10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476" name="Text Box 10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477" name="Text Box 11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478" name="Text Box 11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479" name="Text Box 11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480" name="Text Box 11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481" name="Text Box 11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482" name="Text Box 11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483" name="Text Box 11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484" name="Text Box 11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485" name="Text Box 11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486" name="Text Box 11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487" name="Text Box 12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488" name="Text Box 12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489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490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491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492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493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494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495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496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497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498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499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500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501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502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503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504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505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506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507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508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509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510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511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512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513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514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515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516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517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518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519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520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521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522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523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524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525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526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527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528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529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530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531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532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533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534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535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536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537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538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539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540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541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542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543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544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545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546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547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548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549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550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551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552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553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554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555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556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557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558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559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560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561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562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563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564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565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566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567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568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569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570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571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572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573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574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575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576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577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578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579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580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581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582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583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584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585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586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587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588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589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590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591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592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593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594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595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596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597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598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599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600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1601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602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603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604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605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606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607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608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609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610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611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612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613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614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615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616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617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618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619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620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621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622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623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624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625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626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627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628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629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630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631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632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633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634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635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636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637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638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639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640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641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642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643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644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645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646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647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648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649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650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651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652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653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654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655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656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657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658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659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660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661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662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663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664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665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666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667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668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669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670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671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672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673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1674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675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676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677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678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679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680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681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682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683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684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685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686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687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688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689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690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691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692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693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694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695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696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697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698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699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700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701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702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703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704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705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706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707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708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709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710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711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712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713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1714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1715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1716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717" name="Text Box 12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718" name="Text Box 12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719" name="Text Box 12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720" name="Text Box 12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721" name="Text Box 12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722" name="Text Box 12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723" name="Text Box 12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724" name="Text Box 12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725" name="Text Box 13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726" name="Text Box 13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727" name="Text Box 13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728" name="Text Box 13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729" name="Text Box 13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730" name="Text Box 13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731" name="Text Box 13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732" name="Text Box 13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733" name="Text Box 13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734" name="Text Box 13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735" name="Text Box 14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736" name="Text Box 14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737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738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739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740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741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742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743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744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745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746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747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748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749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750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751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752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753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754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755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756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757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758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759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760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761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762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763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764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765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766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767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768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769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770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771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772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773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774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775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776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777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778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779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780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781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782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783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784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785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786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787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788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789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790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791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792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793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794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795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796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797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798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799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800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801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802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803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804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805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806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807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808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809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810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811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812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813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814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815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816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817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818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819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820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821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822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823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824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825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826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827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828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829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830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831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832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833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834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835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836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837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838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839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840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841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842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843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844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845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846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847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848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1849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850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851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852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853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854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855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856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857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858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859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860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861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862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863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864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865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866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867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868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869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870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871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872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873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874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875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876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877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878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879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880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881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882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883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884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885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886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887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888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1889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1890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1891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1892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1893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1894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1895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1896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1897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1898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1899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1900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901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902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903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904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905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906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907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908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909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910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911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912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913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914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915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916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917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918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1919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1920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1921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1922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1923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1924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1925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1926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1927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1928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1929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1930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1931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1932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1933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1934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1935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1936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1937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1938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1939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1940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941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1942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943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1944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945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1946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947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1948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949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1950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951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1952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953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1954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955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1956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957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1958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959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1960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1961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1962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1963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1964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965" name="Text Box 14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966" name="Text Box 14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967" name="Text Box 14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1968" name="Text Box 14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969" name="Text Box 14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970" name="Text Box 14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971" name="Text Box 14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1972" name="Text Box 14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973" name="Text Box 15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974" name="Text Box 15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975" name="Text Box 15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1976" name="Text Box 15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977" name="Text Box 15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978" name="Text Box 15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979" name="Text Box 15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1980" name="Text Box 15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981" name="Text Box 15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982" name="Text Box 15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983" name="Text Box 16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1984" name="Text Box 16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1985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1986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1987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1988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1989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1990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1991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1992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1993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1994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1995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1996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1997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1998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1999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000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001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002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003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004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005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006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007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008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009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010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011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012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013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014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015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016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017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018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019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020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021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022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023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024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025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026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027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028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029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030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031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032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033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2034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035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036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037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038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039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040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041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042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043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044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045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046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047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048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049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050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051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052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053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2054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2055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2056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057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058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059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060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061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062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063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064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065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066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067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068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069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070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071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072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073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074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075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076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077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078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079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080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081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082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083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084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085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086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087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088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089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090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091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092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093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094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095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2096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2097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2098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099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100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101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102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103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104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105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106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107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108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109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110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111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112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113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114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115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116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117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118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119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120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121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122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123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124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125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126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127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128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129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130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131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132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133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134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135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136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137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138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139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140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141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142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143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144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145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146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2147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148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149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150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151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152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153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154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155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156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157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158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159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160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161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162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163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164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165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166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2167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2168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2169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2170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171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172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173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174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175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176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177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178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179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180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181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182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183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184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185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186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187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188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189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190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191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192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193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194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195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196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197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198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199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200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201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202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203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204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205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206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207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208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2209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2210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2211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2212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213" name="Text Box 16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214" name="Text Box 16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215" name="Text Box 16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216" name="Text Box 16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217" name="Text Box 16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218" name="Text Box 16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219" name="Text Box 16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220" name="Text Box 16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221" name="Text Box 17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222" name="Text Box 17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223" name="Text Box 17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224" name="Text Box 17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225" name="Text Box 17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226" name="Text Box 17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227" name="Text Box 17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228" name="Text Box 17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229" name="Text Box 17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230" name="Text Box 17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231" name="Text Box 18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232" name="Text Box 18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2233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234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235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236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237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238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239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240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241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242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243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244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245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246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247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248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249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250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251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252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253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254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255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256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257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258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259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260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261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262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263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264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265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266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267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268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269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270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271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272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273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274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275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276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277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278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279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280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281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2282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283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284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285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286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287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288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289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290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291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292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293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294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295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296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297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298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299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300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301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2302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2303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2304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305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306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307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308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309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310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311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312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313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314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315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316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317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318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319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320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321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322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323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324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325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326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327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328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329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330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331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332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333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334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335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336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337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338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339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340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341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342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343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2344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2345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2346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347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348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349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350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351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352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353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354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355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356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357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358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359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360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361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362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363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364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365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366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367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368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369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370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371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372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373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374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375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376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377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378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379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380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381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382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383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384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385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386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387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388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389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390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391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392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393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394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2395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396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397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398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399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400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401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402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403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404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405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406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407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408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409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410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411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412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413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414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2415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2416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2417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2418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419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420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421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422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423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424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425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426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427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428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429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430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431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432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433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434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435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436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437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438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439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440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441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442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443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444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445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446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447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448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449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450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451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452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453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454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455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456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2457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2458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2459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2460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461" name="Text Box 18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462" name="Text Box 18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463" name="Text Box 18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464" name="Text Box 18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465" name="Text Box 18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466" name="Text Box 18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467" name="Text Box 18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468" name="Text Box 18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469" name="Text Box 19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470" name="Text Box 19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471" name="Text Box 19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472" name="Text Box 19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473" name="Text Box 19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474" name="Text Box 19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475" name="Text Box 19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476" name="Text Box 19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477" name="Text Box 19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478" name="Text Box 19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479" name="Text Box 20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480" name="Text Box 20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2481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482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483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484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485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486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487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488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489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490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491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492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493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494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495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496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497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498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499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500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501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502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503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504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505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506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507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508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509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510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511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512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513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514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515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516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517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518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519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520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521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522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523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524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525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526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527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528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529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2530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531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532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533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534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535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536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537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538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539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540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541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542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543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544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545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546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547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548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549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2550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2551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2552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553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554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555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556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557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558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559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560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561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562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563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564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565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566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567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568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569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570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571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572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573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574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575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576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577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578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579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580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581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582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583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584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585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586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587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588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589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590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591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2592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216720</xdr:colOff>
      <xdr:row>47</xdr:row>
      <xdr:rowOff>0</xdr:rowOff>
    </xdr:from>
    <xdr:to>
      <xdr:col>0</xdr:col>
      <xdr:colOff>217080</xdr:colOff>
      <xdr:row>50</xdr:row>
      <xdr:rowOff>78480</xdr:rowOff>
    </xdr:to>
    <xdr:sp>
      <xdr:nvSpPr>
        <xdr:cNvPr id="2593" name="Text Box 3"/>
        <xdr:cNvSpPr/>
      </xdr:nvSpPr>
      <xdr:spPr>
        <a:xfrm>
          <a:off x="21672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23</xdr:row>
      <xdr:rowOff>60840</xdr:rowOff>
    </xdr:to>
    <xdr:sp>
      <xdr:nvSpPr>
        <xdr:cNvPr id="2594" name="Text Box 3"/>
        <xdr:cNvSpPr/>
      </xdr:nvSpPr>
      <xdr:spPr>
        <a:xfrm>
          <a:off x="426240" y="3952800"/>
          <a:ext cx="360" cy="2327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595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596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597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598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599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600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601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602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603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604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605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606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607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608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609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610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611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612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613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614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615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616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617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618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15</xdr:row>
      <xdr:rowOff>91800</xdr:rowOff>
    </xdr:to>
    <xdr:sp>
      <xdr:nvSpPr>
        <xdr:cNvPr id="2619" name="Text Box 3"/>
        <xdr:cNvSpPr/>
      </xdr:nvSpPr>
      <xdr:spPr>
        <a:xfrm>
          <a:off x="426240" y="445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16</xdr:row>
      <xdr:rowOff>91800</xdr:rowOff>
    </xdr:to>
    <xdr:sp>
      <xdr:nvSpPr>
        <xdr:cNvPr id="2620" name="Text Box 3"/>
        <xdr:cNvSpPr/>
      </xdr:nvSpPr>
      <xdr:spPr>
        <a:xfrm>
          <a:off x="426240" y="4614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17</xdr:row>
      <xdr:rowOff>91440</xdr:rowOff>
    </xdr:to>
    <xdr:sp>
      <xdr:nvSpPr>
        <xdr:cNvPr id="2621" name="Text Box 3"/>
        <xdr:cNvSpPr/>
      </xdr:nvSpPr>
      <xdr:spPr>
        <a:xfrm>
          <a:off x="426240" y="4776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18</xdr:row>
      <xdr:rowOff>91800</xdr:rowOff>
    </xdr:to>
    <xdr:sp>
      <xdr:nvSpPr>
        <xdr:cNvPr id="2622" name="Text Box 3"/>
        <xdr:cNvSpPr/>
      </xdr:nvSpPr>
      <xdr:spPr>
        <a:xfrm>
          <a:off x="426240" y="493848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19</xdr:row>
      <xdr:rowOff>91800</xdr:rowOff>
    </xdr:to>
    <xdr:sp>
      <xdr:nvSpPr>
        <xdr:cNvPr id="2623" name="Text Box 3"/>
        <xdr:cNvSpPr/>
      </xdr:nvSpPr>
      <xdr:spPr>
        <a:xfrm>
          <a:off x="426240" y="5100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20</xdr:row>
      <xdr:rowOff>92160</xdr:rowOff>
    </xdr:to>
    <xdr:sp>
      <xdr:nvSpPr>
        <xdr:cNvPr id="2624" name="Text Box 3"/>
        <xdr:cNvSpPr/>
      </xdr:nvSpPr>
      <xdr:spPr>
        <a:xfrm>
          <a:off x="426240" y="52624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21</xdr:row>
      <xdr:rowOff>91800</xdr:rowOff>
    </xdr:to>
    <xdr:sp>
      <xdr:nvSpPr>
        <xdr:cNvPr id="2625" name="Text Box 3"/>
        <xdr:cNvSpPr/>
      </xdr:nvSpPr>
      <xdr:spPr>
        <a:xfrm>
          <a:off x="426240" y="5424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22</xdr:row>
      <xdr:rowOff>91440</xdr:rowOff>
    </xdr:to>
    <xdr:sp>
      <xdr:nvSpPr>
        <xdr:cNvPr id="2626" name="Text Box 3"/>
        <xdr:cNvSpPr/>
      </xdr:nvSpPr>
      <xdr:spPr>
        <a:xfrm>
          <a:off x="426240" y="558612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23</xdr:row>
      <xdr:rowOff>91800</xdr:rowOff>
    </xdr:to>
    <xdr:sp>
      <xdr:nvSpPr>
        <xdr:cNvPr id="2627" name="Text Box 3"/>
        <xdr:cNvSpPr/>
      </xdr:nvSpPr>
      <xdr:spPr>
        <a:xfrm>
          <a:off x="426240" y="5747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24</xdr:row>
      <xdr:rowOff>91800</xdr:rowOff>
    </xdr:to>
    <xdr:sp>
      <xdr:nvSpPr>
        <xdr:cNvPr id="2628" name="Text Box 3"/>
        <xdr:cNvSpPr/>
      </xdr:nvSpPr>
      <xdr:spPr>
        <a:xfrm>
          <a:off x="426240" y="5909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25</xdr:row>
      <xdr:rowOff>92160</xdr:rowOff>
    </xdr:to>
    <xdr:sp>
      <xdr:nvSpPr>
        <xdr:cNvPr id="2629" name="Text Box 3"/>
        <xdr:cNvSpPr/>
      </xdr:nvSpPr>
      <xdr:spPr>
        <a:xfrm>
          <a:off x="426240" y="607212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26</xdr:row>
      <xdr:rowOff>91800</xdr:rowOff>
    </xdr:to>
    <xdr:sp>
      <xdr:nvSpPr>
        <xdr:cNvPr id="2630" name="Text Box 3"/>
        <xdr:cNvSpPr/>
      </xdr:nvSpPr>
      <xdr:spPr>
        <a:xfrm>
          <a:off x="426240" y="623376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27</xdr:row>
      <xdr:rowOff>91800</xdr:rowOff>
    </xdr:to>
    <xdr:sp>
      <xdr:nvSpPr>
        <xdr:cNvPr id="2631" name="Text Box 3"/>
        <xdr:cNvSpPr/>
      </xdr:nvSpPr>
      <xdr:spPr>
        <a:xfrm>
          <a:off x="426240" y="639576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28</xdr:row>
      <xdr:rowOff>91800</xdr:rowOff>
    </xdr:to>
    <xdr:sp>
      <xdr:nvSpPr>
        <xdr:cNvPr id="2632" name="Text Box 3"/>
        <xdr:cNvSpPr/>
      </xdr:nvSpPr>
      <xdr:spPr>
        <a:xfrm>
          <a:off x="426240" y="6557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29</xdr:row>
      <xdr:rowOff>91800</xdr:rowOff>
    </xdr:to>
    <xdr:sp>
      <xdr:nvSpPr>
        <xdr:cNvPr id="2633" name="Text Box 3"/>
        <xdr:cNvSpPr/>
      </xdr:nvSpPr>
      <xdr:spPr>
        <a:xfrm>
          <a:off x="426240" y="6719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30</xdr:row>
      <xdr:rowOff>91800</xdr:rowOff>
    </xdr:to>
    <xdr:sp>
      <xdr:nvSpPr>
        <xdr:cNvPr id="2634" name="Text Box 3"/>
        <xdr:cNvSpPr/>
      </xdr:nvSpPr>
      <xdr:spPr>
        <a:xfrm>
          <a:off x="426240" y="6881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31</xdr:row>
      <xdr:rowOff>91800</xdr:rowOff>
    </xdr:to>
    <xdr:sp>
      <xdr:nvSpPr>
        <xdr:cNvPr id="2635" name="Text Box 3"/>
        <xdr:cNvSpPr/>
      </xdr:nvSpPr>
      <xdr:spPr>
        <a:xfrm>
          <a:off x="426240" y="704340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32</xdr:row>
      <xdr:rowOff>91800</xdr:rowOff>
    </xdr:to>
    <xdr:sp>
      <xdr:nvSpPr>
        <xdr:cNvPr id="2636" name="Text Box 3"/>
        <xdr:cNvSpPr/>
      </xdr:nvSpPr>
      <xdr:spPr>
        <a:xfrm>
          <a:off x="426240" y="720540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33</xdr:row>
      <xdr:rowOff>91800</xdr:rowOff>
    </xdr:to>
    <xdr:sp>
      <xdr:nvSpPr>
        <xdr:cNvPr id="2637" name="Text Box 3"/>
        <xdr:cNvSpPr/>
      </xdr:nvSpPr>
      <xdr:spPr>
        <a:xfrm>
          <a:off x="426240" y="7367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34</xdr:row>
      <xdr:rowOff>91800</xdr:rowOff>
    </xdr:to>
    <xdr:sp>
      <xdr:nvSpPr>
        <xdr:cNvPr id="2638" name="Text Box 3"/>
        <xdr:cNvSpPr/>
      </xdr:nvSpPr>
      <xdr:spPr>
        <a:xfrm>
          <a:off x="426240" y="7529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35</xdr:row>
      <xdr:rowOff>91800</xdr:rowOff>
    </xdr:to>
    <xdr:sp>
      <xdr:nvSpPr>
        <xdr:cNvPr id="2639" name="Text Box 3"/>
        <xdr:cNvSpPr/>
      </xdr:nvSpPr>
      <xdr:spPr>
        <a:xfrm>
          <a:off x="426240" y="7691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33</xdr:row>
      <xdr:rowOff>14040</xdr:rowOff>
    </xdr:from>
    <xdr:to>
      <xdr:col>1</xdr:col>
      <xdr:colOff>54000</xdr:colOff>
      <xdr:row>36</xdr:row>
      <xdr:rowOff>91800</xdr:rowOff>
    </xdr:to>
    <xdr:sp>
      <xdr:nvSpPr>
        <xdr:cNvPr id="2640" name="Text Box 3"/>
        <xdr:cNvSpPr/>
      </xdr:nvSpPr>
      <xdr:spPr>
        <a:xfrm>
          <a:off x="426240" y="785304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37</xdr:row>
      <xdr:rowOff>91800</xdr:rowOff>
    </xdr:to>
    <xdr:sp>
      <xdr:nvSpPr>
        <xdr:cNvPr id="2641" name="Text Box 3"/>
        <xdr:cNvSpPr/>
      </xdr:nvSpPr>
      <xdr:spPr>
        <a:xfrm>
          <a:off x="426240" y="8015040"/>
          <a:ext cx="360" cy="563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35</xdr:row>
      <xdr:rowOff>13680</xdr:rowOff>
    </xdr:from>
    <xdr:to>
      <xdr:col>1</xdr:col>
      <xdr:colOff>54000</xdr:colOff>
      <xdr:row>38</xdr:row>
      <xdr:rowOff>91800</xdr:rowOff>
    </xdr:to>
    <xdr:sp>
      <xdr:nvSpPr>
        <xdr:cNvPr id="2642" name="Text Box 3"/>
        <xdr:cNvSpPr/>
      </xdr:nvSpPr>
      <xdr:spPr>
        <a:xfrm>
          <a:off x="426240" y="8176680"/>
          <a:ext cx="36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9</xdr:row>
      <xdr:rowOff>0</xdr:rowOff>
    </xdr:from>
    <xdr:to>
      <xdr:col>1</xdr:col>
      <xdr:colOff>54000</xdr:colOff>
      <xdr:row>13</xdr:row>
      <xdr:rowOff>143280</xdr:rowOff>
    </xdr:to>
    <xdr:sp>
      <xdr:nvSpPr>
        <xdr:cNvPr id="2643" name="Text Box 3"/>
        <xdr:cNvSpPr/>
      </xdr:nvSpPr>
      <xdr:spPr>
        <a:xfrm>
          <a:off x="426240" y="3952800"/>
          <a:ext cx="360" cy="790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12</xdr:row>
      <xdr:rowOff>13680</xdr:rowOff>
    </xdr:from>
    <xdr:to>
      <xdr:col>1</xdr:col>
      <xdr:colOff>54000</xdr:colOff>
      <xdr:row>14</xdr:row>
      <xdr:rowOff>25200</xdr:rowOff>
    </xdr:to>
    <xdr:sp>
      <xdr:nvSpPr>
        <xdr:cNvPr id="2644" name="Text Box 3"/>
        <xdr:cNvSpPr/>
      </xdr:nvSpPr>
      <xdr:spPr>
        <a:xfrm>
          <a:off x="426240" y="445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645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646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647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648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649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650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651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652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653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654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655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656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657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658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659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660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661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662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33</xdr:row>
      <xdr:rowOff>25200</xdr:rowOff>
    </xdr:to>
    <xdr:sp>
      <xdr:nvSpPr>
        <xdr:cNvPr id="2663" name="Text Box 3"/>
        <xdr:cNvSpPr/>
      </xdr:nvSpPr>
      <xdr:spPr>
        <a:xfrm>
          <a:off x="426240" y="7529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32</xdr:row>
      <xdr:rowOff>14040</xdr:rowOff>
    </xdr:from>
    <xdr:to>
      <xdr:col>1</xdr:col>
      <xdr:colOff>54000</xdr:colOff>
      <xdr:row>34</xdr:row>
      <xdr:rowOff>25200</xdr:rowOff>
    </xdr:to>
    <xdr:sp>
      <xdr:nvSpPr>
        <xdr:cNvPr id="2664" name="Text Box 3"/>
        <xdr:cNvSpPr/>
      </xdr:nvSpPr>
      <xdr:spPr>
        <a:xfrm>
          <a:off x="426240" y="7691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31</xdr:row>
      <xdr:rowOff>155880</xdr:rowOff>
    </xdr:from>
    <xdr:to>
      <xdr:col>1</xdr:col>
      <xdr:colOff>815760</xdr:colOff>
      <xdr:row>36</xdr:row>
      <xdr:rowOff>14760</xdr:rowOff>
    </xdr:to>
    <xdr:sp>
      <xdr:nvSpPr>
        <xdr:cNvPr id="2665" name="Text Box 3"/>
        <xdr:cNvSpPr/>
      </xdr:nvSpPr>
      <xdr:spPr>
        <a:xfrm>
          <a:off x="1188000" y="7671240"/>
          <a:ext cx="360" cy="668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10</xdr:row>
      <xdr:rowOff>2520</xdr:rowOff>
    </xdr:from>
    <xdr:to>
      <xdr:col>1</xdr:col>
      <xdr:colOff>54000</xdr:colOff>
      <xdr:row>14</xdr:row>
      <xdr:rowOff>25560</xdr:rowOff>
    </xdr:to>
    <xdr:sp>
      <xdr:nvSpPr>
        <xdr:cNvPr id="2666" name="Text Box 3"/>
        <xdr:cNvSpPr/>
      </xdr:nvSpPr>
      <xdr:spPr>
        <a:xfrm>
          <a:off x="426240" y="4117320"/>
          <a:ext cx="360" cy="67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13</xdr:row>
      <xdr:rowOff>14040</xdr:rowOff>
    </xdr:from>
    <xdr:to>
      <xdr:col>1</xdr:col>
      <xdr:colOff>54000</xdr:colOff>
      <xdr:row>15</xdr:row>
      <xdr:rowOff>25200</xdr:rowOff>
    </xdr:to>
    <xdr:sp>
      <xdr:nvSpPr>
        <xdr:cNvPr id="2667" name="Text Box 3"/>
        <xdr:cNvSpPr/>
      </xdr:nvSpPr>
      <xdr:spPr>
        <a:xfrm>
          <a:off x="426240" y="4614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14</xdr:row>
      <xdr:rowOff>14040</xdr:rowOff>
    </xdr:from>
    <xdr:to>
      <xdr:col>1</xdr:col>
      <xdr:colOff>54000</xdr:colOff>
      <xdr:row>16</xdr:row>
      <xdr:rowOff>25200</xdr:rowOff>
    </xdr:to>
    <xdr:sp>
      <xdr:nvSpPr>
        <xdr:cNvPr id="2668" name="Text Box 3"/>
        <xdr:cNvSpPr/>
      </xdr:nvSpPr>
      <xdr:spPr>
        <a:xfrm>
          <a:off x="426240" y="4776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15</xdr:row>
      <xdr:rowOff>14040</xdr:rowOff>
    </xdr:from>
    <xdr:to>
      <xdr:col>1</xdr:col>
      <xdr:colOff>54000</xdr:colOff>
      <xdr:row>17</xdr:row>
      <xdr:rowOff>24840</xdr:rowOff>
    </xdr:to>
    <xdr:sp>
      <xdr:nvSpPr>
        <xdr:cNvPr id="2669" name="Text Box 3"/>
        <xdr:cNvSpPr/>
      </xdr:nvSpPr>
      <xdr:spPr>
        <a:xfrm>
          <a:off x="426240" y="4938480"/>
          <a:ext cx="360" cy="334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16</xdr:row>
      <xdr:rowOff>13680</xdr:rowOff>
    </xdr:from>
    <xdr:to>
      <xdr:col>1</xdr:col>
      <xdr:colOff>54000</xdr:colOff>
      <xdr:row>18</xdr:row>
      <xdr:rowOff>25200</xdr:rowOff>
    </xdr:to>
    <xdr:sp>
      <xdr:nvSpPr>
        <xdr:cNvPr id="2670" name="Text Box 3"/>
        <xdr:cNvSpPr/>
      </xdr:nvSpPr>
      <xdr:spPr>
        <a:xfrm>
          <a:off x="426240" y="5100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17</xdr:row>
      <xdr:rowOff>14040</xdr:rowOff>
    </xdr:from>
    <xdr:to>
      <xdr:col>1</xdr:col>
      <xdr:colOff>54000</xdr:colOff>
      <xdr:row>19</xdr:row>
      <xdr:rowOff>25560</xdr:rowOff>
    </xdr:to>
    <xdr:sp>
      <xdr:nvSpPr>
        <xdr:cNvPr id="2671" name="Text Box 3"/>
        <xdr:cNvSpPr/>
      </xdr:nvSpPr>
      <xdr:spPr>
        <a:xfrm>
          <a:off x="426240" y="526248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18</xdr:row>
      <xdr:rowOff>14040</xdr:rowOff>
    </xdr:from>
    <xdr:to>
      <xdr:col>1</xdr:col>
      <xdr:colOff>54000</xdr:colOff>
      <xdr:row>20</xdr:row>
      <xdr:rowOff>25200</xdr:rowOff>
    </xdr:to>
    <xdr:sp>
      <xdr:nvSpPr>
        <xdr:cNvPr id="2672" name="Text Box 3"/>
        <xdr:cNvSpPr/>
      </xdr:nvSpPr>
      <xdr:spPr>
        <a:xfrm>
          <a:off x="426240" y="5424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21</xdr:row>
      <xdr:rowOff>25200</xdr:rowOff>
    </xdr:to>
    <xdr:sp>
      <xdr:nvSpPr>
        <xdr:cNvPr id="2673" name="Text Box 3"/>
        <xdr:cNvSpPr/>
      </xdr:nvSpPr>
      <xdr:spPr>
        <a:xfrm>
          <a:off x="426240" y="5586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20</xdr:row>
      <xdr:rowOff>13680</xdr:rowOff>
    </xdr:from>
    <xdr:to>
      <xdr:col>1</xdr:col>
      <xdr:colOff>54000</xdr:colOff>
      <xdr:row>22</xdr:row>
      <xdr:rowOff>24840</xdr:rowOff>
    </xdr:to>
    <xdr:sp>
      <xdr:nvSpPr>
        <xdr:cNvPr id="2674" name="Text Box 3"/>
        <xdr:cNvSpPr/>
      </xdr:nvSpPr>
      <xdr:spPr>
        <a:xfrm>
          <a:off x="426240" y="5747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21</xdr:row>
      <xdr:rowOff>13680</xdr:rowOff>
    </xdr:from>
    <xdr:to>
      <xdr:col>1</xdr:col>
      <xdr:colOff>54000</xdr:colOff>
      <xdr:row>23</xdr:row>
      <xdr:rowOff>25200</xdr:rowOff>
    </xdr:to>
    <xdr:sp>
      <xdr:nvSpPr>
        <xdr:cNvPr id="2675" name="Text Box 3"/>
        <xdr:cNvSpPr/>
      </xdr:nvSpPr>
      <xdr:spPr>
        <a:xfrm>
          <a:off x="426240" y="5909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24</xdr:row>
      <xdr:rowOff>25560</xdr:rowOff>
    </xdr:to>
    <xdr:sp>
      <xdr:nvSpPr>
        <xdr:cNvPr id="2676" name="Text Box 3"/>
        <xdr:cNvSpPr/>
      </xdr:nvSpPr>
      <xdr:spPr>
        <a:xfrm>
          <a:off x="426240" y="607212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23</xdr:row>
      <xdr:rowOff>14040</xdr:rowOff>
    </xdr:from>
    <xdr:to>
      <xdr:col>1</xdr:col>
      <xdr:colOff>54000</xdr:colOff>
      <xdr:row>25</xdr:row>
      <xdr:rowOff>25200</xdr:rowOff>
    </xdr:to>
    <xdr:sp>
      <xdr:nvSpPr>
        <xdr:cNvPr id="2677" name="Text Box 3"/>
        <xdr:cNvSpPr/>
      </xdr:nvSpPr>
      <xdr:spPr>
        <a:xfrm>
          <a:off x="426240" y="6233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24</xdr:row>
      <xdr:rowOff>14040</xdr:rowOff>
    </xdr:from>
    <xdr:to>
      <xdr:col>1</xdr:col>
      <xdr:colOff>54000</xdr:colOff>
      <xdr:row>26</xdr:row>
      <xdr:rowOff>25200</xdr:rowOff>
    </xdr:to>
    <xdr:sp>
      <xdr:nvSpPr>
        <xdr:cNvPr id="2678" name="Text Box 3"/>
        <xdr:cNvSpPr/>
      </xdr:nvSpPr>
      <xdr:spPr>
        <a:xfrm>
          <a:off x="426240" y="639576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27</xdr:row>
      <xdr:rowOff>25200</xdr:rowOff>
    </xdr:to>
    <xdr:sp>
      <xdr:nvSpPr>
        <xdr:cNvPr id="2679" name="Text Box 3"/>
        <xdr:cNvSpPr/>
      </xdr:nvSpPr>
      <xdr:spPr>
        <a:xfrm>
          <a:off x="426240" y="6557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26</xdr:row>
      <xdr:rowOff>13680</xdr:rowOff>
    </xdr:from>
    <xdr:to>
      <xdr:col>1</xdr:col>
      <xdr:colOff>54000</xdr:colOff>
      <xdr:row>28</xdr:row>
      <xdr:rowOff>25200</xdr:rowOff>
    </xdr:to>
    <xdr:sp>
      <xdr:nvSpPr>
        <xdr:cNvPr id="2680" name="Text Box 3"/>
        <xdr:cNvSpPr/>
      </xdr:nvSpPr>
      <xdr:spPr>
        <a:xfrm>
          <a:off x="426240" y="6719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27</xdr:row>
      <xdr:rowOff>14040</xdr:rowOff>
    </xdr:from>
    <xdr:to>
      <xdr:col>1</xdr:col>
      <xdr:colOff>54000</xdr:colOff>
      <xdr:row>29</xdr:row>
      <xdr:rowOff>25200</xdr:rowOff>
    </xdr:to>
    <xdr:sp>
      <xdr:nvSpPr>
        <xdr:cNvPr id="2681" name="Text Box 3"/>
        <xdr:cNvSpPr/>
      </xdr:nvSpPr>
      <xdr:spPr>
        <a:xfrm>
          <a:off x="426240" y="6881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30</xdr:row>
      <xdr:rowOff>25200</xdr:rowOff>
    </xdr:to>
    <xdr:sp>
      <xdr:nvSpPr>
        <xdr:cNvPr id="2682" name="Text Box 3"/>
        <xdr:cNvSpPr/>
      </xdr:nvSpPr>
      <xdr:spPr>
        <a:xfrm>
          <a:off x="426240" y="7043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29</xdr:row>
      <xdr:rowOff>14040</xdr:rowOff>
    </xdr:from>
    <xdr:to>
      <xdr:col>1</xdr:col>
      <xdr:colOff>54000</xdr:colOff>
      <xdr:row>31</xdr:row>
      <xdr:rowOff>25200</xdr:rowOff>
    </xdr:to>
    <xdr:sp>
      <xdr:nvSpPr>
        <xdr:cNvPr id="2683" name="Text Box 3"/>
        <xdr:cNvSpPr/>
      </xdr:nvSpPr>
      <xdr:spPr>
        <a:xfrm>
          <a:off x="426240" y="720540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30</xdr:row>
      <xdr:rowOff>13680</xdr:rowOff>
    </xdr:from>
    <xdr:to>
      <xdr:col>1</xdr:col>
      <xdr:colOff>54000</xdr:colOff>
      <xdr:row>32</xdr:row>
      <xdr:rowOff>25200</xdr:rowOff>
    </xdr:to>
    <xdr:sp>
      <xdr:nvSpPr>
        <xdr:cNvPr id="2684" name="Text Box 3"/>
        <xdr:cNvSpPr/>
      </xdr:nvSpPr>
      <xdr:spPr>
        <a:xfrm>
          <a:off x="426240" y="7367040"/>
          <a:ext cx="360" cy="33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685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19</xdr:row>
      <xdr:rowOff>14040</xdr:rowOff>
    </xdr:from>
    <xdr:to>
      <xdr:col>1</xdr:col>
      <xdr:colOff>54000</xdr:colOff>
      <xdr:row>23</xdr:row>
      <xdr:rowOff>19080</xdr:rowOff>
    </xdr:to>
    <xdr:sp>
      <xdr:nvSpPr>
        <xdr:cNvPr id="2686" name="Text Box 3"/>
        <xdr:cNvSpPr/>
      </xdr:nvSpPr>
      <xdr:spPr>
        <a:xfrm>
          <a:off x="426240" y="5586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687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22</xdr:row>
      <xdr:rowOff>14040</xdr:rowOff>
    </xdr:from>
    <xdr:to>
      <xdr:col>1</xdr:col>
      <xdr:colOff>54000</xdr:colOff>
      <xdr:row>26</xdr:row>
      <xdr:rowOff>19080</xdr:rowOff>
    </xdr:to>
    <xdr:sp>
      <xdr:nvSpPr>
        <xdr:cNvPr id="2688" name="Text Box 3"/>
        <xdr:cNvSpPr/>
      </xdr:nvSpPr>
      <xdr:spPr>
        <a:xfrm>
          <a:off x="426240" y="60721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689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25</xdr:row>
      <xdr:rowOff>13680</xdr:rowOff>
    </xdr:from>
    <xdr:to>
      <xdr:col>1</xdr:col>
      <xdr:colOff>54000</xdr:colOff>
      <xdr:row>29</xdr:row>
      <xdr:rowOff>18720</xdr:rowOff>
    </xdr:to>
    <xdr:sp>
      <xdr:nvSpPr>
        <xdr:cNvPr id="2690" name="Text Box 3"/>
        <xdr:cNvSpPr/>
      </xdr:nvSpPr>
      <xdr:spPr>
        <a:xfrm>
          <a:off x="426240" y="6557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691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28</xdr:row>
      <xdr:rowOff>14040</xdr:rowOff>
    </xdr:from>
    <xdr:to>
      <xdr:col>1</xdr:col>
      <xdr:colOff>54000</xdr:colOff>
      <xdr:row>32</xdr:row>
      <xdr:rowOff>19080</xdr:rowOff>
    </xdr:to>
    <xdr:sp>
      <xdr:nvSpPr>
        <xdr:cNvPr id="2692" name="Text Box 3"/>
        <xdr:cNvSpPr/>
      </xdr:nvSpPr>
      <xdr:spPr>
        <a:xfrm>
          <a:off x="426240" y="704340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693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31</xdr:row>
      <xdr:rowOff>13680</xdr:rowOff>
    </xdr:from>
    <xdr:to>
      <xdr:col>1</xdr:col>
      <xdr:colOff>54000</xdr:colOff>
      <xdr:row>35</xdr:row>
      <xdr:rowOff>18720</xdr:rowOff>
    </xdr:to>
    <xdr:sp>
      <xdr:nvSpPr>
        <xdr:cNvPr id="2694" name="Text Box 3"/>
        <xdr:cNvSpPr/>
      </xdr:nvSpPr>
      <xdr:spPr>
        <a:xfrm>
          <a:off x="426240" y="7529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695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34</xdr:row>
      <xdr:rowOff>14040</xdr:rowOff>
    </xdr:from>
    <xdr:to>
      <xdr:col>1</xdr:col>
      <xdr:colOff>54000</xdr:colOff>
      <xdr:row>38</xdr:row>
      <xdr:rowOff>19080</xdr:rowOff>
    </xdr:to>
    <xdr:sp>
      <xdr:nvSpPr>
        <xdr:cNvPr id="2696" name="Text Box 3"/>
        <xdr:cNvSpPr/>
      </xdr:nvSpPr>
      <xdr:spPr>
        <a:xfrm>
          <a:off x="426240" y="801504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697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37</xdr:row>
      <xdr:rowOff>14040</xdr:rowOff>
    </xdr:from>
    <xdr:to>
      <xdr:col>1</xdr:col>
      <xdr:colOff>54000</xdr:colOff>
      <xdr:row>41</xdr:row>
      <xdr:rowOff>18720</xdr:rowOff>
    </xdr:to>
    <xdr:sp>
      <xdr:nvSpPr>
        <xdr:cNvPr id="2698" name="Text Box 3"/>
        <xdr:cNvSpPr/>
      </xdr:nvSpPr>
      <xdr:spPr>
        <a:xfrm>
          <a:off x="426240" y="850068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699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40</xdr:row>
      <xdr:rowOff>13680</xdr:rowOff>
    </xdr:from>
    <xdr:to>
      <xdr:col>1</xdr:col>
      <xdr:colOff>54000</xdr:colOff>
      <xdr:row>44</xdr:row>
      <xdr:rowOff>18720</xdr:rowOff>
    </xdr:to>
    <xdr:sp>
      <xdr:nvSpPr>
        <xdr:cNvPr id="2700" name="Text Box 3"/>
        <xdr:cNvSpPr/>
      </xdr:nvSpPr>
      <xdr:spPr>
        <a:xfrm>
          <a:off x="426240" y="89863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701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48</xdr:row>
      <xdr:rowOff>14040</xdr:rowOff>
    </xdr:from>
    <xdr:to>
      <xdr:col>1</xdr:col>
      <xdr:colOff>54000</xdr:colOff>
      <xdr:row>51</xdr:row>
      <xdr:rowOff>92520</xdr:rowOff>
    </xdr:to>
    <xdr:sp>
      <xdr:nvSpPr>
        <xdr:cNvPr id="2702" name="Text Box 3"/>
        <xdr:cNvSpPr/>
      </xdr:nvSpPr>
      <xdr:spPr>
        <a:xfrm>
          <a:off x="426240" y="1028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703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47</xdr:row>
      <xdr:rowOff>0</xdr:rowOff>
    </xdr:from>
    <xdr:to>
      <xdr:col>1</xdr:col>
      <xdr:colOff>54000</xdr:colOff>
      <xdr:row>50</xdr:row>
      <xdr:rowOff>78480</xdr:rowOff>
    </xdr:to>
    <xdr:sp>
      <xdr:nvSpPr>
        <xdr:cNvPr id="2704" name="Text Box 3"/>
        <xdr:cNvSpPr/>
      </xdr:nvSpPr>
      <xdr:spPr>
        <a:xfrm>
          <a:off x="426240" y="1010592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815400</xdr:colOff>
      <xdr:row>14</xdr:row>
      <xdr:rowOff>90000</xdr:rowOff>
    </xdr:from>
    <xdr:to>
      <xdr:col>1</xdr:col>
      <xdr:colOff>815760</xdr:colOff>
      <xdr:row>18</xdr:row>
      <xdr:rowOff>101520</xdr:rowOff>
    </xdr:to>
    <xdr:sp>
      <xdr:nvSpPr>
        <xdr:cNvPr id="2705" name="Text Box 3"/>
        <xdr:cNvSpPr/>
      </xdr:nvSpPr>
      <xdr:spPr>
        <a:xfrm>
          <a:off x="1188000" y="4852440"/>
          <a:ext cx="360" cy="659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468000</xdr:colOff>
      <xdr:row>7</xdr:row>
      <xdr:rowOff>66960</xdr:rowOff>
    </xdr:from>
    <xdr:to>
      <xdr:col>45</xdr:col>
      <xdr:colOff>124560</xdr:colOff>
      <xdr:row>7</xdr:row>
      <xdr:rowOff>484200</xdr:rowOff>
    </xdr:to>
    <xdr:sp>
      <xdr:nvSpPr>
        <xdr:cNvPr id="2706" name="Rectángulo 226"/>
        <xdr:cNvSpPr/>
      </xdr:nvSpPr>
      <xdr:spPr>
        <a:xfrm>
          <a:off x="22458600" y="1505160"/>
          <a:ext cx="3101040" cy="4172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18360" rIns="0" tIns="0" bIns="0" anchor="t" upright="1">
          <a:noAutofit/>
        </a:bodyPr>
        <a:p>
          <a:pPr algn="ctr">
            <a:lnSpc>
              <a:spcPct val="100000"/>
            </a:lnSpc>
          </a:pPr>
          <a:r>
            <a:rPr b="1" lang="es-PE" sz="1600" spc="-1" strike="noStrike">
              <a:latin typeface="Times New Roman"/>
            </a:rPr>
            <a:t>FIRMA DIGITAL</a:t>
          </a:r>
          <a:endParaRPr b="0" lang="en-US" sz="1600" spc="-1" strike="noStrike">
            <a:latin typeface="Times New Roman"/>
          </a:endParaRPr>
        </a:p>
      </xdr:txBody>
    </xdr:sp>
    <xdr:clientData/>
  </xdr:twoCellAnchor>
  <xdr:twoCellAnchor editAs="twoCell">
    <xdr:from>
      <xdr:col>40</xdr:col>
      <xdr:colOff>568080</xdr:colOff>
      <xdr:row>7</xdr:row>
      <xdr:rowOff>33120</xdr:rowOff>
    </xdr:from>
    <xdr:to>
      <xdr:col>44</xdr:col>
      <xdr:colOff>484560</xdr:colOff>
      <xdr:row>7</xdr:row>
      <xdr:rowOff>33120</xdr:rowOff>
    </xdr:to>
    <xdr:cxnSp>
      <xdr:nvCxnSpPr>
        <xdr:cNvPr id="2707" name="Conector recto 227"/>
        <xdr:cNvCxnSpPr/>
      </xdr:nvCxnSpPr>
      <xdr:spPr>
        <a:xfrm>
          <a:off x="22558680" y="1471320"/>
          <a:ext cx="2817720" cy="36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3</xdr:col>
      <xdr:colOff>117000</xdr:colOff>
      <xdr:row>0</xdr:row>
      <xdr:rowOff>0</xdr:rowOff>
    </xdr:from>
    <xdr:to>
      <xdr:col>5</xdr:col>
      <xdr:colOff>88560</xdr:colOff>
      <xdr:row>4</xdr:row>
      <xdr:rowOff>185760</xdr:rowOff>
    </xdr:to>
    <xdr:pic>
      <xdr:nvPicPr>
        <xdr:cNvPr id="2708" name="Imagen 228" descr=""/>
        <xdr:cNvPicPr/>
      </xdr:nvPicPr>
      <xdr:blipFill>
        <a:blip r:embed="rId1"/>
        <a:stretch/>
      </xdr:blipFill>
      <xdr:spPr>
        <a:xfrm>
          <a:off x="4617720" y="0"/>
          <a:ext cx="676440" cy="90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709" name="Text Box 202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710" name="Text Box 203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711" name="Text Box 204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41</xdr:row>
      <xdr:rowOff>13320</xdr:rowOff>
    </xdr:from>
    <xdr:to>
      <xdr:col>1</xdr:col>
      <xdr:colOff>54000</xdr:colOff>
      <xdr:row>45</xdr:row>
      <xdr:rowOff>18360</xdr:rowOff>
    </xdr:to>
    <xdr:sp>
      <xdr:nvSpPr>
        <xdr:cNvPr id="2712" name="Text Box 205"/>
        <xdr:cNvSpPr/>
      </xdr:nvSpPr>
      <xdr:spPr>
        <a:xfrm>
          <a:off x="426240" y="9147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713" name="Text Box 206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714" name="Text Box 207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715" name="Text Box 208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42</xdr:row>
      <xdr:rowOff>13680</xdr:rowOff>
    </xdr:from>
    <xdr:to>
      <xdr:col>1</xdr:col>
      <xdr:colOff>54000</xdr:colOff>
      <xdr:row>46</xdr:row>
      <xdr:rowOff>18360</xdr:rowOff>
    </xdr:to>
    <xdr:sp>
      <xdr:nvSpPr>
        <xdr:cNvPr id="2716" name="Text Box 209"/>
        <xdr:cNvSpPr/>
      </xdr:nvSpPr>
      <xdr:spPr>
        <a:xfrm>
          <a:off x="426240" y="9309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717" name="Text Box 210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718" name="Text Box 211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719" name="Text Box 212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43</xdr:row>
      <xdr:rowOff>13680</xdr:rowOff>
    </xdr:from>
    <xdr:to>
      <xdr:col>1</xdr:col>
      <xdr:colOff>54000</xdr:colOff>
      <xdr:row>47</xdr:row>
      <xdr:rowOff>18720</xdr:rowOff>
    </xdr:to>
    <xdr:sp>
      <xdr:nvSpPr>
        <xdr:cNvPr id="2720" name="Text Box 213"/>
        <xdr:cNvSpPr/>
      </xdr:nvSpPr>
      <xdr:spPr>
        <a:xfrm>
          <a:off x="426240" y="9471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721" name="Text Box 214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722" name="Text Box 215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723" name="Text Box 216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44</xdr:row>
      <xdr:rowOff>13680</xdr:rowOff>
    </xdr:from>
    <xdr:to>
      <xdr:col>1</xdr:col>
      <xdr:colOff>54000</xdr:colOff>
      <xdr:row>48</xdr:row>
      <xdr:rowOff>18720</xdr:rowOff>
    </xdr:to>
    <xdr:sp>
      <xdr:nvSpPr>
        <xdr:cNvPr id="2724" name="Text Box 217"/>
        <xdr:cNvSpPr/>
      </xdr:nvSpPr>
      <xdr:spPr>
        <a:xfrm>
          <a:off x="426240" y="9633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725" name="Text Box 218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726" name="Text Box 219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727" name="Text Box 220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53640</xdr:colOff>
      <xdr:row>45</xdr:row>
      <xdr:rowOff>13680</xdr:rowOff>
    </xdr:from>
    <xdr:to>
      <xdr:col>1</xdr:col>
      <xdr:colOff>54000</xdr:colOff>
      <xdr:row>48</xdr:row>
      <xdr:rowOff>180720</xdr:rowOff>
    </xdr:to>
    <xdr:sp>
      <xdr:nvSpPr>
        <xdr:cNvPr id="2728" name="Text Box 221"/>
        <xdr:cNvSpPr/>
      </xdr:nvSpPr>
      <xdr:spPr>
        <a:xfrm>
          <a:off x="426240" y="9795960"/>
          <a:ext cx="360" cy="652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rIns="0" tIns="23040" bIns="0" anchor="t" upright="1">
          <a:noAutofit/>
        </a:bodyPr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APELLIDOS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Y</a:t>
          </a:r>
          <a:endParaRPr b="0" lang="en-US" sz="9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PE" sz="900" spc="-1" strike="noStrike">
              <a:solidFill>
                <a:srgbClr val="000000"/>
              </a:solidFill>
              <a:latin typeface="Arial"/>
            </a:rPr>
            <a:t>NOMBRES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:/Angelo/Downloads/EXCEL-REGISTRO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92.168.0.9/sistem%20nsm-2022/Users/Angelo/Box%20Sync/N19/2019/Documentos/BOLETAS%20MANUALES/REGISTRO%20PARA%20CNEB%20ANGELO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idades"/>
      <sheetName val="ARTE"/>
      <sheetName val="CTA"/>
      <sheetName val="COMPORT"/>
      <sheetName val="COMU"/>
      <sheetName val="EFIS"/>
      <sheetName val="ETRA"/>
      <sheetName val="EREL"/>
      <sheetName val="FCC"/>
      <sheetName val="HGE"/>
      <sheetName val="INGL"/>
      <sheetName val="MATE"/>
      <sheetName val="PFRRH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mpetencias y capacidades"/>
      <sheetName val="Datos General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7" activeCellId="0" sqref="A7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43.29"/>
    <col collapsed="false" customWidth="true" hidden="false" outlineLevel="0" max="2" min="2" style="1" width="18.57"/>
    <col collapsed="false" customWidth="true" hidden="false" outlineLevel="0" max="5" min="3" style="1" width="21"/>
    <col collapsed="false" customWidth="true" hidden="false" outlineLevel="0" max="6" min="6" style="1" width="5.86"/>
    <col collapsed="false" customWidth="true" hidden="false" outlineLevel="0" max="7" min="7" style="1" width="23.86"/>
    <col collapsed="false" customWidth="true" hidden="false" outlineLevel="0" max="8" min="8" style="2" width="33.57"/>
    <col collapsed="false" customWidth="true" hidden="false" outlineLevel="0" max="14" min="9" style="1" width="15.71"/>
    <col collapsed="false" customWidth="false" hidden="false" outlineLevel="0" max="16384" min="15" style="1" width="11.43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5" t="s">
        <v>5</v>
      </c>
      <c r="H1" s="6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</row>
    <row r="2" customFormat="false" ht="15" hidden="false" customHeight="true" outlineLevel="0" collapsed="false">
      <c r="A2" s="8" t="s">
        <v>13</v>
      </c>
      <c r="B2" s="8" t="s">
        <v>14</v>
      </c>
      <c r="C2" s="8" t="s">
        <v>15</v>
      </c>
      <c r="D2" s="8"/>
      <c r="E2" s="8"/>
      <c r="F2" s="9"/>
      <c r="G2" s="10" t="s">
        <v>16</v>
      </c>
      <c r="H2" s="11" t="s">
        <v>17</v>
      </c>
      <c r="I2" s="12" t="s">
        <v>18</v>
      </c>
      <c r="J2" s="13" t="s">
        <v>19</v>
      </c>
      <c r="K2" s="13" t="s">
        <v>20</v>
      </c>
      <c r="L2" s="13" t="s">
        <v>21</v>
      </c>
      <c r="M2" s="14"/>
      <c r="N2" s="15"/>
    </row>
    <row r="3" customFormat="false" ht="15" hidden="false" customHeight="true" outlineLevel="0" collapsed="false">
      <c r="A3" s="16" t="s">
        <v>22</v>
      </c>
      <c r="B3" s="16" t="s">
        <v>23</v>
      </c>
      <c r="C3" s="16" t="s">
        <v>24</v>
      </c>
      <c r="D3" s="16" t="s">
        <v>25</v>
      </c>
      <c r="E3" s="8"/>
      <c r="F3" s="9"/>
      <c r="G3" s="10"/>
      <c r="H3" s="17" t="s">
        <v>26</v>
      </c>
      <c r="I3" s="18" t="s">
        <v>27</v>
      </c>
      <c r="J3" s="19" t="s">
        <v>28</v>
      </c>
      <c r="K3" s="19" t="s">
        <v>29</v>
      </c>
      <c r="L3" s="19" t="s">
        <v>30</v>
      </c>
      <c r="M3" s="19" t="s">
        <v>31</v>
      </c>
      <c r="N3" s="15"/>
    </row>
    <row r="4" customFormat="false" ht="15" hidden="false" customHeight="true" outlineLevel="0" collapsed="false">
      <c r="A4" s="8" t="s">
        <v>32</v>
      </c>
      <c r="B4" s="8" t="s">
        <v>33</v>
      </c>
      <c r="C4" s="8" t="s">
        <v>34</v>
      </c>
      <c r="D4" s="8" t="s">
        <v>35</v>
      </c>
      <c r="E4" s="8"/>
      <c r="F4" s="9"/>
      <c r="G4" s="20" t="s">
        <v>36</v>
      </c>
      <c r="H4" s="21" t="s">
        <v>37</v>
      </c>
      <c r="I4" s="22" t="s">
        <v>38</v>
      </c>
      <c r="J4" s="23" t="s">
        <v>39</v>
      </c>
      <c r="K4" s="23" t="s">
        <v>40</v>
      </c>
      <c r="L4" s="14"/>
      <c r="M4" s="14"/>
      <c r="N4" s="15"/>
    </row>
    <row r="5" customFormat="false" ht="15" hidden="false" customHeight="true" outlineLevel="0" collapsed="false">
      <c r="A5" s="24" t="s">
        <v>36</v>
      </c>
      <c r="B5" s="24" t="s">
        <v>37</v>
      </c>
      <c r="C5" s="24" t="s">
        <v>41</v>
      </c>
      <c r="D5" s="24" t="s">
        <v>42</v>
      </c>
      <c r="E5" s="8"/>
      <c r="F5" s="9"/>
      <c r="G5" s="20"/>
      <c r="H5" s="21" t="s">
        <v>41</v>
      </c>
      <c r="I5" s="22" t="s">
        <v>43</v>
      </c>
      <c r="J5" s="23" t="s">
        <v>44</v>
      </c>
      <c r="K5" s="23" t="s">
        <v>45</v>
      </c>
      <c r="L5" s="14"/>
      <c r="M5" s="14"/>
      <c r="N5" s="15"/>
    </row>
    <row r="6" customFormat="false" ht="15" hidden="false" customHeight="true" outlineLevel="0" collapsed="false">
      <c r="A6" s="25" t="s">
        <v>46</v>
      </c>
      <c r="B6" s="8" t="s">
        <v>47</v>
      </c>
      <c r="C6" s="8" t="s">
        <v>48</v>
      </c>
      <c r="D6" s="25" t="s">
        <v>49</v>
      </c>
      <c r="E6" s="8"/>
      <c r="F6" s="9"/>
      <c r="G6" s="20"/>
      <c r="H6" s="21" t="s">
        <v>42</v>
      </c>
      <c r="I6" s="22" t="s">
        <v>50</v>
      </c>
      <c r="J6" s="23" t="s">
        <v>51</v>
      </c>
      <c r="K6" s="14"/>
      <c r="L6" s="14"/>
      <c r="M6" s="14"/>
      <c r="N6" s="15"/>
    </row>
    <row r="7" customFormat="false" ht="15" hidden="false" customHeight="true" outlineLevel="0" collapsed="false">
      <c r="A7" s="25" t="s">
        <v>52</v>
      </c>
      <c r="B7" s="8" t="s">
        <v>47</v>
      </c>
      <c r="C7" s="8" t="s">
        <v>48</v>
      </c>
      <c r="D7" s="25" t="s">
        <v>49</v>
      </c>
      <c r="E7" s="8"/>
      <c r="F7" s="9"/>
      <c r="G7" s="26" t="s">
        <v>53</v>
      </c>
      <c r="H7" s="27" t="s">
        <v>54</v>
      </c>
      <c r="I7" s="28" t="s">
        <v>55</v>
      </c>
      <c r="J7" s="29" t="s">
        <v>56</v>
      </c>
      <c r="K7" s="14"/>
      <c r="L7" s="14"/>
      <c r="M7" s="14"/>
      <c r="N7" s="15"/>
    </row>
    <row r="8" customFormat="false" ht="15" hidden="false" customHeight="true" outlineLevel="0" collapsed="false">
      <c r="A8" s="30" t="s">
        <v>16</v>
      </c>
      <c r="B8" s="31" t="s">
        <v>17</v>
      </c>
      <c r="C8" s="30" t="s">
        <v>26</v>
      </c>
      <c r="D8" s="8"/>
      <c r="E8" s="8"/>
      <c r="F8" s="9"/>
      <c r="G8" s="26"/>
      <c r="H8" s="27" t="s">
        <v>57</v>
      </c>
      <c r="I8" s="28" t="s">
        <v>58</v>
      </c>
      <c r="J8" s="29" t="s">
        <v>59</v>
      </c>
      <c r="K8" s="14"/>
      <c r="L8" s="14"/>
      <c r="M8" s="14"/>
      <c r="N8" s="15"/>
    </row>
    <row r="9" customFormat="false" ht="15" hidden="false" customHeight="true" outlineLevel="0" collapsed="false">
      <c r="A9" s="32" t="s">
        <v>60</v>
      </c>
      <c r="B9" s="32" t="s">
        <v>61</v>
      </c>
      <c r="C9" s="32" t="s">
        <v>62</v>
      </c>
      <c r="D9" s="32" t="s">
        <v>63</v>
      </c>
      <c r="E9" s="8"/>
      <c r="F9" s="9"/>
      <c r="G9" s="33" t="s">
        <v>64</v>
      </c>
      <c r="H9" s="34" t="s">
        <v>65</v>
      </c>
      <c r="I9" s="35" t="s">
        <v>66</v>
      </c>
      <c r="J9" s="36" t="s">
        <v>67</v>
      </c>
      <c r="K9" s="36" t="s">
        <v>68</v>
      </c>
      <c r="L9" s="36" t="s">
        <v>69</v>
      </c>
      <c r="M9" s="15"/>
      <c r="N9" s="15"/>
    </row>
    <row r="10" customFormat="false" ht="15" hidden="false" customHeight="true" outlineLevel="0" collapsed="false">
      <c r="A10" s="37" t="s">
        <v>64</v>
      </c>
      <c r="B10" s="8" t="s">
        <v>65</v>
      </c>
      <c r="C10" s="8"/>
      <c r="D10" s="8"/>
      <c r="E10" s="8"/>
      <c r="F10" s="9"/>
      <c r="G10" s="38" t="s">
        <v>60</v>
      </c>
      <c r="H10" s="39" t="s">
        <v>61</v>
      </c>
      <c r="I10" s="40" t="s">
        <v>70</v>
      </c>
      <c r="J10" s="41" t="s">
        <v>71</v>
      </c>
      <c r="K10" s="15"/>
      <c r="L10" s="15"/>
      <c r="M10" s="15"/>
      <c r="N10" s="15"/>
    </row>
    <row r="11" customFormat="false" ht="15" hidden="false" customHeight="true" outlineLevel="0" collapsed="false">
      <c r="A11" s="42" t="s">
        <v>53</v>
      </c>
      <c r="B11" s="42" t="s">
        <v>54</v>
      </c>
      <c r="C11" s="42" t="s">
        <v>57</v>
      </c>
      <c r="D11" s="8"/>
      <c r="E11" s="8"/>
      <c r="F11" s="9"/>
      <c r="G11" s="38"/>
      <c r="H11" s="39" t="s">
        <v>62</v>
      </c>
      <c r="I11" s="40" t="s">
        <v>72</v>
      </c>
      <c r="J11" s="41" t="s">
        <v>73</v>
      </c>
      <c r="K11" s="15"/>
      <c r="L11" s="15"/>
      <c r="M11" s="15"/>
      <c r="N11" s="15"/>
    </row>
    <row r="12" customFormat="false" ht="15" hidden="false" customHeight="true" outlineLevel="0" collapsed="false">
      <c r="A12" s="43" t="s">
        <v>74</v>
      </c>
      <c r="B12" s="43" t="s">
        <v>75</v>
      </c>
      <c r="C12" s="43" t="s">
        <v>76</v>
      </c>
      <c r="D12" s="43" t="s">
        <v>77</v>
      </c>
      <c r="E12" s="8"/>
      <c r="F12" s="9"/>
      <c r="G12" s="38"/>
      <c r="H12" s="39" t="s">
        <v>63</v>
      </c>
      <c r="I12" s="40" t="s">
        <v>78</v>
      </c>
      <c r="J12" s="41" t="s">
        <v>79</v>
      </c>
      <c r="K12" s="15"/>
      <c r="L12" s="15"/>
      <c r="M12" s="15"/>
      <c r="N12" s="15"/>
    </row>
    <row r="13" customFormat="false" ht="15" hidden="false" customHeight="true" outlineLevel="0" collapsed="false">
      <c r="A13" s="44" t="s">
        <v>80</v>
      </c>
      <c r="B13" s="44" t="s">
        <v>81</v>
      </c>
      <c r="C13" s="44" t="s">
        <v>82</v>
      </c>
      <c r="D13" s="44" t="s">
        <v>83</v>
      </c>
      <c r="E13" s="44" t="s">
        <v>84</v>
      </c>
      <c r="G13" s="45" t="s">
        <v>46</v>
      </c>
      <c r="H13" s="46" t="s">
        <v>47</v>
      </c>
      <c r="I13" s="47" t="s">
        <v>85</v>
      </c>
      <c r="J13" s="48" t="s">
        <v>86</v>
      </c>
      <c r="K13" s="48" t="s">
        <v>87</v>
      </c>
      <c r="L13" s="48" t="s">
        <v>88</v>
      </c>
      <c r="M13" s="48" t="s">
        <v>89</v>
      </c>
      <c r="N13" s="48" t="s">
        <v>90</v>
      </c>
    </row>
    <row r="14" customFormat="false" ht="15" hidden="false" customHeight="true" outlineLevel="0" collapsed="false">
      <c r="A14" s="9"/>
      <c r="B14" s="9"/>
      <c r="G14" s="45"/>
      <c r="H14" s="46" t="s">
        <v>48</v>
      </c>
      <c r="I14" s="49" t="s">
        <v>91</v>
      </c>
      <c r="J14" s="50" t="s">
        <v>92</v>
      </c>
      <c r="K14" s="50" t="s">
        <v>93</v>
      </c>
      <c r="L14" s="15"/>
      <c r="M14" s="15"/>
      <c r="N14" s="15"/>
    </row>
    <row r="15" customFormat="false" ht="15" hidden="false" customHeight="true" outlineLevel="0" collapsed="false">
      <c r="A15" s="9"/>
      <c r="B15" s="9"/>
      <c r="G15" s="45"/>
      <c r="H15" s="46" t="s">
        <v>49</v>
      </c>
      <c r="I15" s="49" t="s">
        <v>94</v>
      </c>
      <c r="J15" s="50" t="s">
        <v>95</v>
      </c>
      <c r="K15" s="50" t="s">
        <v>96</v>
      </c>
      <c r="L15" s="50" t="s">
        <v>93</v>
      </c>
      <c r="M15" s="15"/>
      <c r="N15" s="15"/>
    </row>
    <row r="16" customFormat="false" ht="15" hidden="false" customHeight="true" outlineLevel="0" collapsed="false">
      <c r="A16" s="9"/>
      <c r="B16" s="9"/>
      <c r="G16" s="51" t="s">
        <v>13</v>
      </c>
      <c r="H16" s="52" t="s">
        <v>14</v>
      </c>
      <c r="I16" s="53" t="s">
        <v>97</v>
      </c>
      <c r="J16" s="14" t="s">
        <v>98</v>
      </c>
      <c r="K16" s="14" t="s">
        <v>99</v>
      </c>
      <c r="L16" s="15"/>
      <c r="M16" s="15"/>
      <c r="N16" s="15"/>
    </row>
    <row r="17" customFormat="false" ht="15" hidden="false" customHeight="true" outlineLevel="0" collapsed="false">
      <c r="A17" s="9"/>
      <c r="B17" s="9"/>
      <c r="G17" s="51"/>
      <c r="H17" s="52" t="s">
        <v>15</v>
      </c>
      <c r="I17" s="53" t="s">
        <v>100</v>
      </c>
      <c r="J17" s="14" t="s">
        <v>101</v>
      </c>
      <c r="K17" s="14" t="s">
        <v>102</v>
      </c>
      <c r="L17" s="15"/>
      <c r="M17" s="15"/>
      <c r="N17" s="15"/>
    </row>
    <row r="18" customFormat="false" ht="15" hidden="false" customHeight="true" outlineLevel="0" collapsed="false">
      <c r="A18" s="9"/>
      <c r="B18" s="9"/>
      <c r="G18" s="54" t="s">
        <v>22</v>
      </c>
      <c r="H18" s="55" t="s">
        <v>23</v>
      </c>
      <c r="I18" s="56" t="s">
        <v>85</v>
      </c>
      <c r="J18" s="57" t="s">
        <v>86</v>
      </c>
      <c r="K18" s="57" t="s">
        <v>103</v>
      </c>
      <c r="L18" s="57" t="s">
        <v>88</v>
      </c>
      <c r="M18" s="57" t="s">
        <v>89</v>
      </c>
      <c r="N18" s="57" t="s">
        <v>90</v>
      </c>
    </row>
    <row r="19" customFormat="false" ht="15" hidden="false" customHeight="true" outlineLevel="0" collapsed="false">
      <c r="G19" s="54"/>
      <c r="H19" s="55" t="s">
        <v>24</v>
      </c>
      <c r="I19" s="56" t="s">
        <v>91</v>
      </c>
      <c r="J19" s="57" t="s">
        <v>92</v>
      </c>
      <c r="K19" s="57" t="s">
        <v>93</v>
      </c>
      <c r="L19" s="15"/>
      <c r="M19" s="15"/>
      <c r="N19" s="15"/>
    </row>
    <row r="20" customFormat="false" ht="15" hidden="false" customHeight="true" outlineLevel="0" collapsed="false">
      <c r="G20" s="54"/>
      <c r="H20" s="55" t="s">
        <v>25</v>
      </c>
      <c r="I20" s="56" t="s">
        <v>94</v>
      </c>
      <c r="J20" s="57" t="s">
        <v>95</v>
      </c>
      <c r="K20" s="57" t="s">
        <v>96</v>
      </c>
      <c r="L20" s="57" t="s">
        <v>93</v>
      </c>
      <c r="M20" s="15"/>
      <c r="N20" s="15"/>
    </row>
    <row r="21" customFormat="false" ht="15" hidden="false" customHeight="true" outlineLevel="0" collapsed="false">
      <c r="G21" s="58" t="s">
        <v>74</v>
      </c>
      <c r="H21" s="59" t="s">
        <v>75</v>
      </c>
      <c r="I21" s="60" t="s">
        <v>85</v>
      </c>
      <c r="J21" s="61" t="s">
        <v>104</v>
      </c>
      <c r="K21" s="61" t="s">
        <v>87</v>
      </c>
      <c r="L21" s="61" t="s">
        <v>88</v>
      </c>
      <c r="M21" s="61" t="s">
        <v>89</v>
      </c>
      <c r="N21" s="61" t="s">
        <v>90</v>
      </c>
    </row>
    <row r="22" customFormat="false" ht="15" hidden="false" customHeight="true" outlineLevel="0" collapsed="false">
      <c r="G22" s="58"/>
      <c r="H22" s="59" t="s">
        <v>76</v>
      </c>
      <c r="I22" s="60" t="s">
        <v>91</v>
      </c>
      <c r="J22" s="61" t="s">
        <v>92</v>
      </c>
      <c r="K22" s="61" t="s">
        <v>93</v>
      </c>
      <c r="L22" s="15"/>
      <c r="M22" s="15"/>
      <c r="N22" s="15"/>
    </row>
    <row r="23" customFormat="false" ht="15" hidden="false" customHeight="true" outlineLevel="0" collapsed="false">
      <c r="G23" s="58"/>
      <c r="H23" s="59" t="s">
        <v>77</v>
      </c>
      <c r="I23" s="60" t="s">
        <v>94</v>
      </c>
      <c r="J23" s="61" t="s">
        <v>95</v>
      </c>
      <c r="K23" s="61" t="s">
        <v>96</v>
      </c>
      <c r="L23" s="61" t="s">
        <v>93</v>
      </c>
      <c r="M23" s="15"/>
      <c r="N23" s="15"/>
    </row>
    <row r="24" customFormat="false" ht="15" hidden="false" customHeight="true" outlineLevel="0" collapsed="false">
      <c r="G24" s="62" t="s">
        <v>80</v>
      </c>
      <c r="H24" s="63" t="s">
        <v>81</v>
      </c>
      <c r="I24" s="64" t="s">
        <v>105</v>
      </c>
      <c r="J24" s="65" t="s">
        <v>106</v>
      </c>
      <c r="K24" s="65" t="s">
        <v>107</v>
      </c>
      <c r="L24" s="65" t="s">
        <v>108</v>
      </c>
      <c r="M24" s="15"/>
      <c r="N24" s="15"/>
    </row>
    <row r="25" customFormat="false" ht="15" hidden="false" customHeight="true" outlineLevel="0" collapsed="false">
      <c r="G25" s="62"/>
      <c r="H25" s="66" t="s">
        <v>82</v>
      </c>
      <c r="I25" s="64" t="s">
        <v>109</v>
      </c>
      <c r="J25" s="65" t="s">
        <v>110</v>
      </c>
      <c r="K25" s="65" t="s">
        <v>111</v>
      </c>
      <c r="L25" s="65" t="s">
        <v>112</v>
      </c>
      <c r="M25" s="15"/>
      <c r="N25" s="15"/>
    </row>
    <row r="26" customFormat="false" ht="15" hidden="false" customHeight="true" outlineLevel="0" collapsed="false">
      <c r="G26" s="62"/>
      <c r="H26" s="63" t="s">
        <v>83</v>
      </c>
      <c r="I26" s="64" t="s">
        <v>113</v>
      </c>
      <c r="J26" s="65" t="s">
        <v>114</v>
      </c>
      <c r="K26" s="65" t="s">
        <v>115</v>
      </c>
      <c r="L26" s="65" t="s">
        <v>116</v>
      </c>
      <c r="M26" s="15"/>
      <c r="N26" s="15"/>
    </row>
    <row r="27" customFormat="false" ht="15" hidden="false" customHeight="true" outlineLevel="0" collapsed="false">
      <c r="G27" s="62"/>
      <c r="H27" s="63" t="s">
        <v>84</v>
      </c>
      <c r="I27" s="64" t="s">
        <v>117</v>
      </c>
      <c r="J27" s="65" t="s">
        <v>118</v>
      </c>
      <c r="K27" s="65" t="s">
        <v>119</v>
      </c>
      <c r="L27" s="65" t="s">
        <v>120</v>
      </c>
      <c r="M27" s="15"/>
      <c r="N27" s="15"/>
    </row>
    <row r="28" customFormat="false" ht="15" hidden="false" customHeight="true" outlineLevel="0" collapsed="false">
      <c r="G28" s="67" t="s">
        <v>32</v>
      </c>
      <c r="H28" s="52" t="s">
        <v>33</v>
      </c>
      <c r="I28" s="53" t="s">
        <v>121</v>
      </c>
      <c r="J28" s="14" t="s">
        <v>122</v>
      </c>
      <c r="K28" s="14" t="s">
        <v>123</v>
      </c>
      <c r="L28" s="14" t="s">
        <v>124</v>
      </c>
      <c r="M28" s="14" t="s">
        <v>125</v>
      </c>
      <c r="N28" s="15"/>
    </row>
    <row r="29" customFormat="false" ht="15" hidden="false" customHeight="true" outlineLevel="0" collapsed="false">
      <c r="G29" s="67"/>
      <c r="H29" s="52" t="s">
        <v>34</v>
      </c>
      <c r="I29" s="53" t="s">
        <v>126</v>
      </c>
      <c r="J29" s="14" t="s">
        <v>127</v>
      </c>
      <c r="K29" s="15"/>
      <c r="L29" s="15"/>
      <c r="M29" s="15"/>
      <c r="N29" s="15"/>
    </row>
    <row r="30" customFormat="false" ht="15" hidden="false" customHeight="true" outlineLevel="0" collapsed="false">
      <c r="G30" s="67"/>
      <c r="H30" s="68" t="s">
        <v>35</v>
      </c>
      <c r="I30" s="53" t="s">
        <v>128</v>
      </c>
      <c r="J30" s="14" t="s">
        <v>129</v>
      </c>
      <c r="K30" s="14" t="s">
        <v>130</v>
      </c>
      <c r="L30" s="14" t="s">
        <v>131</v>
      </c>
      <c r="M30" s="15"/>
      <c r="N30" s="15"/>
    </row>
    <row r="31" customFormat="false" ht="15" hidden="false" customHeight="true" outlineLevel="0" collapsed="false">
      <c r="G31" s="45" t="s">
        <v>52</v>
      </c>
      <c r="H31" s="46" t="s">
        <v>47</v>
      </c>
      <c r="I31" s="47" t="s">
        <v>85</v>
      </c>
      <c r="J31" s="48" t="s">
        <v>86</v>
      </c>
      <c r="K31" s="48" t="s">
        <v>87</v>
      </c>
      <c r="L31" s="48" t="s">
        <v>88</v>
      </c>
      <c r="M31" s="48" t="s">
        <v>89</v>
      </c>
      <c r="N31" s="48" t="s">
        <v>90</v>
      </c>
    </row>
    <row r="32" customFormat="false" ht="15" hidden="false" customHeight="true" outlineLevel="0" collapsed="false">
      <c r="G32" s="45"/>
      <c r="H32" s="46" t="s">
        <v>48</v>
      </c>
      <c r="I32" s="49" t="s">
        <v>91</v>
      </c>
      <c r="J32" s="50" t="s">
        <v>92</v>
      </c>
      <c r="K32" s="50" t="s">
        <v>93</v>
      </c>
      <c r="L32" s="15"/>
      <c r="M32" s="15"/>
      <c r="N32" s="15"/>
    </row>
    <row r="33" customFormat="false" ht="15" hidden="false" customHeight="true" outlineLevel="0" collapsed="false">
      <c r="G33" s="45"/>
      <c r="H33" s="46" t="s">
        <v>49</v>
      </c>
      <c r="I33" s="49" t="s">
        <v>94</v>
      </c>
      <c r="J33" s="50" t="s">
        <v>95</v>
      </c>
      <c r="K33" s="50" t="s">
        <v>96</v>
      </c>
      <c r="L33" s="50" t="s">
        <v>93</v>
      </c>
      <c r="M33" s="15"/>
      <c r="N33" s="15"/>
    </row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>
      <c r="F36" s="1" t="s">
        <v>132</v>
      </c>
    </row>
    <row r="37" customFormat="false" ht="15" hidden="false" customHeight="false" outlineLevel="0" collapsed="false">
      <c r="F37" s="1" t="s">
        <v>133</v>
      </c>
    </row>
    <row r="38" customFormat="false" ht="15" hidden="false" customHeight="false" outlineLevel="0" collapsed="false">
      <c r="F38" s="1" t="s">
        <v>134</v>
      </c>
    </row>
    <row r="39" customFormat="false" ht="15" hidden="false" customHeight="false" outlineLevel="0" collapsed="false">
      <c r="F39" s="1" t="s">
        <v>135</v>
      </c>
    </row>
    <row r="40" customFormat="false" ht="15" hidden="false" customHeight="false" outlineLevel="0" collapsed="false">
      <c r="F40" s="1" t="s">
        <v>136</v>
      </c>
    </row>
    <row r="43" customFormat="false" ht="15" hidden="false" customHeight="false" outlineLevel="0" collapsed="false">
      <c r="F43" s="1" t="s">
        <v>137</v>
      </c>
    </row>
    <row r="44" customFormat="false" ht="15" hidden="false" customHeight="false" outlineLevel="0" collapsed="false">
      <c r="F44" s="1" t="s">
        <v>138</v>
      </c>
    </row>
    <row r="45" customFormat="false" ht="15" hidden="false" customHeight="false" outlineLevel="0" collapsed="false">
      <c r="F45" s="1" t="s">
        <v>139</v>
      </c>
    </row>
    <row r="46" customFormat="false" ht="15" hidden="false" customHeight="false" outlineLevel="0" collapsed="false">
      <c r="F46" s="1" t="s">
        <v>140</v>
      </c>
    </row>
    <row r="47" customFormat="false" ht="15" hidden="false" customHeight="false" outlineLevel="0" collapsed="false">
      <c r="F47" s="1" t="s">
        <v>141</v>
      </c>
    </row>
    <row r="48" customFormat="false" ht="15" hidden="false" customHeight="false" outlineLevel="0" collapsed="false">
      <c r="F48" s="1" t="s">
        <v>142</v>
      </c>
    </row>
    <row r="49" customFormat="false" ht="15" hidden="false" customHeight="false" outlineLevel="0" collapsed="false">
      <c r="F49" s="1" t="s">
        <v>143</v>
      </c>
    </row>
    <row r="50" customFormat="false" ht="15" hidden="false" customHeight="false" outlineLevel="0" collapsed="false">
      <c r="F50" s="1" t="s">
        <v>144</v>
      </c>
    </row>
    <row r="51" customFormat="false" ht="15" hidden="false" customHeight="false" outlineLevel="0" collapsed="false">
      <c r="F51" s="1" t="s">
        <v>145</v>
      </c>
    </row>
    <row r="58" customFormat="false" ht="15" hidden="false" customHeight="false" outlineLevel="0" collapsed="false">
      <c r="F58" s="69" t="s">
        <v>146</v>
      </c>
    </row>
    <row r="59" customFormat="false" ht="15" hidden="false" customHeight="false" outlineLevel="0" collapsed="false">
      <c r="F59" s="69" t="s">
        <v>147</v>
      </c>
    </row>
    <row r="60" customFormat="false" ht="15" hidden="false" customHeight="false" outlineLevel="0" collapsed="false">
      <c r="F60" s="69" t="s">
        <v>148</v>
      </c>
    </row>
    <row r="61" customFormat="false" ht="15" hidden="false" customHeight="false" outlineLevel="0" collapsed="false">
      <c r="F61" s="69" t="s">
        <v>149</v>
      </c>
    </row>
  </sheetData>
  <sheetProtection sheet="true" objects="true" scenarios="true"/>
  <mergeCells count="11">
    <mergeCell ref="G2:G3"/>
    <mergeCell ref="G4:G6"/>
    <mergeCell ref="G7:G8"/>
    <mergeCell ref="G10:G12"/>
    <mergeCell ref="G13:G15"/>
    <mergeCell ref="G16:G17"/>
    <mergeCell ref="G18:G20"/>
    <mergeCell ref="G21:G23"/>
    <mergeCell ref="G24:G27"/>
    <mergeCell ref="G28:G30"/>
    <mergeCell ref="G31:G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2:Z52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90" workbookViewId="0">
      <selection pane="topLeft" activeCell="D8" activeCellId="0" sqref="D8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70" width="11.29"/>
    <col collapsed="false" customWidth="true" hidden="false" outlineLevel="0" max="2" min="2" style="70" width="6.71"/>
    <col collapsed="false" customWidth="false" hidden="false" outlineLevel="0" max="3" min="3" style="70" width="11.43"/>
    <col collapsed="false" customWidth="true" hidden="false" outlineLevel="0" max="4" min="4" style="70" width="56.29"/>
    <col collapsed="false" customWidth="false" hidden="false" outlineLevel="0" max="5" min="5" style="70" width="11.43"/>
    <col collapsed="false" customWidth="false" hidden="false" outlineLevel="0" max="10" min="6" style="71" width="11.43"/>
    <col collapsed="false" customWidth="false" hidden="false" outlineLevel="0" max="24" min="11" style="70" width="11.43"/>
    <col collapsed="false" customWidth="true" hidden="true" outlineLevel="0" max="26" min="25" style="70" width="11.53"/>
    <col collapsed="false" customWidth="false" hidden="false" outlineLevel="0" max="16384" min="27" style="70" width="11.43"/>
  </cols>
  <sheetData>
    <row r="2" customFormat="false" ht="12.75" hidden="false" customHeight="false" outlineLevel="0" collapsed="false">
      <c r="D2" s="72" t="s">
        <v>150</v>
      </c>
    </row>
    <row r="3" customFormat="false" ht="12.75" hidden="false" customHeight="false" outlineLevel="0" collapsed="false">
      <c r="D3" s="73" t="s">
        <v>134</v>
      </c>
    </row>
    <row r="4" customFormat="false" ht="12.75" hidden="false" customHeight="false" outlineLevel="0" collapsed="false">
      <c r="D4" s="72" t="s">
        <v>151</v>
      </c>
    </row>
    <row r="5" customFormat="false" ht="12.75" hidden="false" customHeight="false" outlineLevel="0" collapsed="false">
      <c r="A5" s="74"/>
      <c r="B5" s="74"/>
      <c r="C5" s="74"/>
      <c r="D5" s="73" t="s">
        <v>137</v>
      </c>
      <c r="Y5" s="71" t="s">
        <v>152</v>
      </c>
      <c r="Z5" s="71" t="s">
        <v>153</v>
      </c>
    </row>
    <row r="6" customFormat="false" ht="12.75" hidden="false" customHeight="false" outlineLevel="0" collapsed="false">
      <c r="A6" s="74"/>
      <c r="B6" s="74"/>
      <c r="C6" s="74"/>
    </row>
    <row r="7" s="75" customFormat="true" ht="12.75" hidden="false" customHeight="false" outlineLevel="0" collapsed="false">
      <c r="B7" s="76" t="s">
        <v>154</v>
      </c>
      <c r="C7" s="76" t="s">
        <v>155</v>
      </c>
      <c r="D7" s="77" t="s">
        <v>156</v>
      </c>
      <c r="F7" s="78"/>
      <c r="G7" s="78"/>
      <c r="H7" s="78"/>
      <c r="I7" s="78"/>
      <c r="J7" s="78"/>
    </row>
    <row r="8" customFormat="false" ht="12.75" hidden="false" customHeight="false" outlineLevel="0" collapsed="false">
      <c r="B8" s="79" t="n">
        <v>1</v>
      </c>
      <c r="C8" s="79"/>
      <c r="D8" s="80"/>
      <c r="E8" s="74"/>
    </row>
    <row r="9" customFormat="false" ht="12.75" hidden="false" customHeight="false" outlineLevel="0" collapsed="false">
      <c r="B9" s="79" t="n">
        <v>2</v>
      </c>
      <c r="C9" s="79"/>
      <c r="D9" s="81"/>
      <c r="E9" s="74"/>
    </row>
    <row r="10" customFormat="false" ht="12.75" hidden="false" customHeight="false" outlineLevel="0" collapsed="false">
      <c r="B10" s="79" t="n">
        <v>3</v>
      </c>
      <c r="C10" s="79"/>
      <c r="D10" s="81"/>
    </row>
    <row r="11" customFormat="false" ht="12.75" hidden="false" customHeight="false" outlineLevel="0" collapsed="false">
      <c r="B11" s="79" t="n">
        <v>4</v>
      </c>
      <c r="C11" s="79"/>
      <c r="D11" s="81"/>
    </row>
    <row r="12" customFormat="false" ht="12.75" hidden="false" customHeight="false" outlineLevel="0" collapsed="false">
      <c r="B12" s="79" t="n">
        <v>5</v>
      </c>
      <c r="C12" s="79"/>
      <c r="D12" s="81"/>
    </row>
    <row r="13" customFormat="false" ht="12.75" hidden="false" customHeight="false" outlineLevel="0" collapsed="false">
      <c r="B13" s="79" t="n">
        <v>6</v>
      </c>
      <c r="C13" s="79"/>
      <c r="D13" s="81"/>
    </row>
    <row r="14" customFormat="false" ht="12.75" hidden="false" customHeight="false" outlineLevel="0" collapsed="false">
      <c r="B14" s="79" t="n">
        <v>7</v>
      </c>
      <c r="C14" s="79"/>
      <c r="D14" s="81"/>
    </row>
    <row r="15" customFormat="false" ht="12.75" hidden="false" customHeight="false" outlineLevel="0" collapsed="false">
      <c r="B15" s="79" t="n">
        <v>8</v>
      </c>
      <c r="C15" s="79"/>
      <c r="D15" s="81"/>
    </row>
    <row r="16" customFormat="false" ht="12.75" hidden="false" customHeight="false" outlineLevel="0" collapsed="false">
      <c r="B16" s="79" t="n">
        <v>9</v>
      </c>
      <c r="C16" s="79"/>
      <c r="D16" s="81"/>
    </row>
    <row r="17" customFormat="false" ht="12.75" hidden="false" customHeight="false" outlineLevel="0" collapsed="false">
      <c r="B17" s="79" t="n">
        <v>10</v>
      </c>
      <c r="C17" s="79"/>
      <c r="D17" s="81"/>
    </row>
    <row r="18" customFormat="false" ht="13.5" hidden="false" customHeight="true" outlineLevel="0" collapsed="false">
      <c r="B18" s="79" t="n">
        <v>11</v>
      </c>
      <c r="C18" s="79"/>
      <c r="D18" s="81"/>
    </row>
    <row r="19" customFormat="false" ht="12.75" hidden="false" customHeight="false" outlineLevel="0" collapsed="false">
      <c r="B19" s="79" t="n">
        <v>12</v>
      </c>
      <c r="C19" s="79"/>
      <c r="D19" s="81"/>
    </row>
    <row r="20" customFormat="false" ht="12.75" hidden="false" customHeight="false" outlineLevel="0" collapsed="false">
      <c r="B20" s="79" t="n">
        <v>13</v>
      </c>
      <c r="C20" s="79"/>
      <c r="D20" s="81"/>
    </row>
    <row r="21" customFormat="false" ht="12.75" hidden="false" customHeight="false" outlineLevel="0" collapsed="false">
      <c r="B21" s="79" t="n">
        <v>14</v>
      </c>
      <c r="C21" s="79"/>
      <c r="D21" s="81"/>
    </row>
    <row r="22" customFormat="false" ht="12.75" hidden="false" customHeight="false" outlineLevel="0" collapsed="false">
      <c r="B22" s="79" t="n">
        <v>15</v>
      </c>
      <c r="C22" s="79"/>
      <c r="D22" s="81"/>
    </row>
    <row r="23" customFormat="false" ht="12.75" hidden="false" customHeight="false" outlineLevel="0" collapsed="false">
      <c r="B23" s="79" t="n">
        <v>16</v>
      </c>
      <c r="C23" s="79"/>
      <c r="D23" s="81"/>
    </row>
    <row r="24" customFormat="false" ht="12.75" hidden="false" customHeight="false" outlineLevel="0" collapsed="false">
      <c r="B24" s="79" t="n">
        <v>17</v>
      </c>
      <c r="C24" s="79"/>
      <c r="D24" s="81"/>
    </row>
    <row r="25" customFormat="false" ht="12.75" hidden="false" customHeight="false" outlineLevel="0" collapsed="false">
      <c r="B25" s="79" t="n">
        <v>18</v>
      </c>
      <c r="C25" s="79"/>
      <c r="D25" s="81"/>
    </row>
    <row r="26" customFormat="false" ht="12.75" hidden="false" customHeight="false" outlineLevel="0" collapsed="false">
      <c r="B26" s="79" t="n">
        <v>19</v>
      </c>
      <c r="C26" s="79"/>
      <c r="D26" s="81"/>
    </row>
    <row r="27" customFormat="false" ht="12.75" hidden="false" customHeight="false" outlineLevel="0" collapsed="false">
      <c r="B27" s="79" t="n">
        <v>20</v>
      </c>
      <c r="C27" s="79"/>
      <c r="D27" s="81"/>
    </row>
    <row r="28" customFormat="false" ht="12.75" hidden="false" customHeight="false" outlineLevel="0" collapsed="false">
      <c r="B28" s="79" t="n">
        <v>21</v>
      </c>
      <c r="C28" s="79"/>
      <c r="D28" s="81"/>
    </row>
    <row r="29" customFormat="false" ht="12.75" hidden="false" customHeight="false" outlineLevel="0" collapsed="false">
      <c r="B29" s="79" t="n">
        <v>22</v>
      </c>
      <c r="C29" s="79"/>
      <c r="D29" s="81"/>
    </row>
    <row r="30" customFormat="false" ht="12.75" hidden="false" customHeight="false" outlineLevel="0" collapsed="false">
      <c r="B30" s="79" t="n">
        <v>23</v>
      </c>
      <c r="C30" s="79"/>
      <c r="D30" s="81"/>
    </row>
    <row r="31" customFormat="false" ht="12.75" hidden="false" customHeight="false" outlineLevel="0" collapsed="false">
      <c r="B31" s="79" t="n">
        <v>24</v>
      </c>
      <c r="C31" s="79"/>
      <c r="D31" s="81"/>
    </row>
    <row r="32" customFormat="false" ht="12.75" hidden="false" customHeight="false" outlineLevel="0" collapsed="false">
      <c r="B32" s="79" t="n">
        <v>25</v>
      </c>
      <c r="C32" s="79"/>
      <c r="D32" s="81"/>
    </row>
    <row r="33" customFormat="false" ht="12.75" hidden="false" customHeight="false" outlineLevel="0" collapsed="false">
      <c r="B33" s="79" t="n">
        <v>26</v>
      </c>
      <c r="C33" s="79"/>
      <c r="D33" s="81"/>
    </row>
    <row r="34" customFormat="false" ht="12.75" hidden="false" customHeight="false" outlineLevel="0" collapsed="false">
      <c r="B34" s="79" t="n">
        <v>27</v>
      </c>
      <c r="C34" s="79"/>
      <c r="D34" s="81"/>
    </row>
    <row r="35" customFormat="false" ht="12.75" hidden="false" customHeight="false" outlineLevel="0" collapsed="false">
      <c r="B35" s="79" t="n">
        <v>28</v>
      </c>
      <c r="C35" s="79"/>
      <c r="D35" s="81"/>
    </row>
    <row r="36" customFormat="false" ht="12.75" hidden="false" customHeight="false" outlineLevel="0" collapsed="false">
      <c r="B36" s="79" t="n">
        <v>29</v>
      </c>
      <c r="C36" s="79"/>
      <c r="D36" s="81"/>
    </row>
    <row r="37" customFormat="false" ht="12.75" hidden="false" customHeight="false" outlineLevel="0" collapsed="false">
      <c r="B37" s="79" t="n">
        <v>30</v>
      </c>
      <c r="C37" s="79"/>
      <c r="D37" s="80"/>
    </row>
    <row r="38" customFormat="false" ht="12.75" hidden="false" customHeight="false" outlineLevel="0" collapsed="false">
      <c r="B38" s="79" t="n">
        <v>31</v>
      </c>
      <c r="C38" s="79"/>
      <c r="D38" s="82"/>
    </row>
    <row r="39" customFormat="false" ht="13.8" hidden="false" customHeight="false" outlineLevel="0" collapsed="false">
      <c r="B39" s="79" t="n">
        <v>32</v>
      </c>
      <c r="C39" s="83"/>
      <c r="D39" s="84"/>
    </row>
    <row r="40" customFormat="false" ht="13.8" hidden="false" customHeight="false" outlineLevel="0" collapsed="false">
      <c r="B40" s="79" t="n">
        <v>33</v>
      </c>
      <c r="C40" s="83"/>
      <c r="D40" s="84"/>
    </row>
    <row r="41" customFormat="false" ht="13.8" hidden="false" customHeight="false" outlineLevel="0" collapsed="false">
      <c r="B41" s="79" t="n">
        <v>34</v>
      </c>
      <c r="C41" s="83"/>
      <c r="D41" s="84"/>
    </row>
    <row r="42" customFormat="false" ht="13.8" hidden="false" customHeight="false" outlineLevel="0" collapsed="false">
      <c r="B42" s="79" t="n">
        <v>35</v>
      </c>
      <c r="C42" s="83"/>
      <c r="D42" s="84"/>
    </row>
    <row r="43" customFormat="false" ht="13.8" hidden="false" customHeight="false" outlineLevel="0" collapsed="false">
      <c r="B43" s="79" t="n">
        <v>36</v>
      </c>
      <c r="C43" s="83"/>
      <c r="D43" s="84"/>
    </row>
    <row r="44" customFormat="false" ht="13.8" hidden="false" customHeight="false" outlineLevel="0" collapsed="false">
      <c r="B44" s="79" t="n">
        <v>37</v>
      </c>
      <c r="C44" s="83"/>
      <c r="D44" s="84"/>
    </row>
    <row r="45" customFormat="false" ht="13.8" hidden="false" customHeight="false" outlineLevel="0" collapsed="false">
      <c r="B45" s="79" t="n">
        <v>38</v>
      </c>
      <c r="C45" s="79"/>
      <c r="D45" s="85"/>
    </row>
    <row r="46" customFormat="false" ht="15" hidden="false" customHeight="false" outlineLevel="0" collapsed="false">
      <c r="B46" s="83"/>
      <c r="C46" s="83"/>
      <c r="D46" s="86"/>
    </row>
    <row r="47" customFormat="false" ht="15" hidden="false" customHeight="false" outlineLevel="0" collapsed="false">
      <c r="B47" s="83"/>
      <c r="C47" s="83"/>
      <c r="D47" s="86"/>
    </row>
    <row r="48" customFormat="false" ht="15" hidden="false" customHeight="false" outlineLevel="0" collapsed="false">
      <c r="B48" s="83"/>
      <c r="C48" s="83"/>
      <c r="D48" s="86"/>
    </row>
    <row r="49" customFormat="false" ht="15" hidden="false" customHeight="false" outlineLevel="0" collapsed="false">
      <c r="B49" s="83"/>
      <c r="C49" s="83"/>
      <c r="D49" s="86"/>
    </row>
    <row r="50" customFormat="false" ht="15" hidden="false" customHeight="false" outlineLevel="0" collapsed="false">
      <c r="B50" s="83"/>
      <c r="C50" s="83"/>
      <c r="D50" s="86"/>
    </row>
    <row r="51" customFormat="false" ht="13.5" hidden="false" customHeight="false" outlineLevel="0" collapsed="false">
      <c r="B51" s="83"/>
      <c r="C51" s="83"/>
      <c r="D51" s="87"/>
    </row>
    <row r="52" customFormat="false" ht="13.5" hidden="false" customHeight="false" outlineLevel="0" collapsed="false">
      <c r="B52" s="83"/>
      <c r="C52" s="83"/>
      <c r="D52" s="87"/>
    </row>
  </sheetData>
  <sheetProtection sheet="true" objects="true" scenarios="true"/>
  <conditionalFormatting sqref="D38:D52">
    <cfRule type="cellIs" priority="2" operator="equal" aboveAverage="0" equalAverage="0" bottom="0" percent="0" rank="0" text="" dxfId="0">
      <formula>0</formula>
    </cfRule>
  </conditionalFormatting>
  <dataValidations count="2">
    <dataValidation allowBlank="true" errorStyle="stop" operator="between" showDropDown="false" showErrorMessage="true" showInputMessage="true" sqref="D3" type="list">
      <formula1>'Competencias y capacidades'!$F$36:$F$40</formula1>
      <formula2>0</formula2>
    </dataValidation>
    <dataValidation allowBlank="true" errorStyle="stop" operator="between" showDropDown="false" showErrorMessage="true" showInputMessage="true" sqref="D5" type="list">
      <formula1>'Competencias y capacidades'!$F$43:$F$51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C7" activeCellId="0" sqref="C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">
        <v>157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13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">
        <v>166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">
        <v>168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Aprecia de manera crítica manifestaciones artistico-culturales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Crea proyectos desde los lenguajes artisticos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/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Percibe manifestaciones artistico-culturales</v>
      </c>
      <c r="D9" s="122" t="str">
        <f aca="false">IF(IF($C$8="","",VLOOKUP($C$8,'Competencias y capacidades'!$H$2:$N$33,3,FALSE()))=0,"",IF($C$8="","",VLOOKUP($C$8,'Competencias y capacidades'!$H$2:$N$33,3,FALSE())))</f>
        <v>Contextualiza las manifestaciones artistico-culturales</v>
      </c>
      <c r="E9" s="122" t="str">
        <f aca="false">IF(IF($C$8="","",VLOOKUP($C$8,'Competencias y capacidades'!$H$2:$N$33,4,FALSE()))=0,"",IF($C$8="","",VLOOKUP($C$8,'Competencias y capacidades'!$H$2:$N$33,4,FALSE())))</f>
        <v>Reflexiona creativa y críticamente sobre las manifestaciones artistico- culturales</v>
      </c>
      <c r="F9" s="122" t="str">
        <f aca="false">IF(IF($C$8="","",VLOOKUP($C$8,'Competencias y capacidades'!$H$2:$N$33,5,FALSE()))=0,"",IF($C$8="","",VLOOKUP($C$8,'Competencias y capacidades'!$H$2:$N$33,5,FALSE())))</f>
        <v/>
      </c>
      <c r="G9" s="122" t="str">
        <f aca="false">IF(IF($C$8="","",VLOOKUP($C$8,'Competencias y capacidades'!$H$2:$N$33,6,FALSE()))=0,"",IF($C$8="","",VLOOKUP($C$8,'Competencias y capacidades'!$H$2:$N$33,6,FALSE())))</f>
        <v/>
      </c>
      <c r="H9" s="122" t="str">
        <f aca="false">IF(IF($C$8="","",VLOOKUP($C$8,'Competencias y capacidades'!$H$2:$N$33,7,FALSE()))=0,"",IF($C$8="","",VLOOKUP($C$8,'Competencias y capacidades'!$H$2:$N$33,7,FALSE())))</f>
        <v/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Explora y experimenta los lenguajes de las artes</v>
      </c>
      <c r="L9" s="122" t="str">
        <f aca="false">IF(IF($K$8="","",VLOOKUP($K$8,'Competencias y capacidades'!$H$2:$N$33,3,FALSE()))=0,"",IF($K$8="","",VLOOKUP($K$8,'Competencias y capacidades'!$H$2:$N$33,3,FALSE())))</f>
        <v>Aplica procesos de creación</v>
      </c>
      <c r="M9" s="122" t="str">
        <f aca="false">IF(IF($K$8="","",VLOOKUP($K$8,'Competencias y capacidades'!$H$2:$N$33,4,FALSE()))=0,"",IF($K$8="","",VLOOKUP($K$8,'Competencias y capacidades'!$H$2:$N$33,4,FALSE())))</f>
        <v>Evalúa y comunica sus procesos y proyectos</v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/>
      </c>
      <c r="S9" s="122" t="str">
        <f aca="false">IF(IF($R$8="","",VLOOKUP($R$8,'Competencias y capacidades'!$H$2:$N$33,3,FALSE()))=0,"",IF($R$8="","",VLOOKUP($R$8,'Competencias y capacidades'!$H$2:$N$33,3,FALSE())))</f>
        <v/>
      </c>
      <c r="T9" s="122" t="str">
        <f aca="false">IF(IF($R$8="","",VLOOKUP($R$8,'Competencias y capacidades'!$H$2:$N$33,4,FALSE()))=0,"",IF($R$8="","",VLOOKUP($R$8,'Competencias y capacidades'!$H$2:$N$33,4,FALSE())))</f>
        <v/>
      </c>
      <c r="U9" s="122" t="str">
        <f aca="false">IF(IF($R$8="","",VLOOKUP($R$8,'Competencias y capacidades'!$H$2:$N$33,5,FALSE()))=0,"",IF($R$8="","",VLOOKUP($R$8,'Competencias y capacidades'!$H$2:$N$33,5,FALSE())))</f>
        <v/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1">
      <formula>0</formula>
    </cfRule>
  </conditionalFormatting>
  <conditionalFormatting sqref="AM10:AM47">
    <cfRule type="containsText" priority="3" operator="containsText" aboveAverage="0" equalAverage="0" bottom="0" percent="0" rank="0" text="AD" dxfId="2">
      <formula>NOT(ISERROR(SEARCH("AD",AM10)))</formula>
    </cfRule>
    <cfRule type="containsText" priority="4" operator="containsText" aboveAverage="0" equalAverage="0" bottom="0" percent="0" rank="0" text="A" dxfId="3">
      <formula>NOT(ISERROR(SEARCH("A",AM10)))</formula>
    </cfRule>
    <cfRule type="containsText" priority="5" operator="containsText" aboveAverage="0" equalAverage="0" bottom="0" percent="0" rank="0" text="B" dxfId="4">
      <formula>NOT(ISERROR(SEARCH("B",AM10)))</formula>
    </cfRule>
    <cfRule type="containsText" priority="6" operator="containsText" aboveAverage="0" equalAverage="0" bottom="0" percent="0" rank="0" text="C" dxfId="5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6">
      <formula>NOT(ISERROR(SEARCH("AD",AI10)))</formula>
    </cfRule>
    <cfRule type="containsText" priority="8" operator="containsText" aboveAverage="0" equalAverage="0" bottom="0" percent="0" rank="0" text="A" dxfId="7">
      <formula>NOT(ISERROR(SEARCH("A",AI10)))</formula>
    </cfRule>
    <cfRule type="containsText" priority="9" operator="containsText" aboveAverage="0" equalAverage="0" bottom="0" percent="0" rank="0" text="B" dxfId="8">
      <formula>NOT(ISERROR(SEARCH("B",AI10)))</formula>
    </cfRule>
    <cfRule type="containsText" priority="10" operator="containsText" aboveAverage="0" equalAverage="0" bottom="0" percent="0" rank="0" text="C" dxfId="9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10">
      <formula>NOT(ISERROR(SEARCH("AD",AB10)))</formula>
    </cfRule>
    <cfRule type="containsText" priority="12" operator="containsText" aboveAverage="0" equalAverage="0" bottom="0" percent="0" rank="0" text="A" dxfId="11">
      <formula>NOT(ISERROR(SEARCH("A",AB10)))</formula>
    </cfRule>
    <cfRule type="containsText" priority="13" operator="containsText" aboveAverage="0" equalAverage="0" bottom="0" percent="0" rank="0" text="B" dxfId="12">
      <formula>NOT(ISERROR(SEARCH("B",AB10)))</formula>
    </cfRule>
    <cfRule type="containsText" priority="14" operator="containsText" aboveAverage="0" equalAverage="0" bottom="0" percent="0" rank="0" text="C" dxfId="13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14">
      <formula>NOT(ISERROR(SEARCH("AD",V10)))</formula>
    </cfRule>
    <cfRule type="containsText" priority="16" operator="containsText" aboveAverage="0" equalAverage="0" bottom="0" percent="0" rank="0" text="A" dxfId="15">
      <formula>NOT(ISERROR(SEARCH("A",V10)))</formula>
    </cfRule>
    <cfRule type="containsText" priority="17" operator="containsText" aboveAverage="0" equalAverage="0" bottom="0" percent="0" rank="0" text="B" dxfId="16">
      <formula>NOT(ISERROR(SEARCH("B",V10)))</formula>
    </cfRule>
    <cfRule type="containsText" priority="18" operator="containsText" aboveAverage="0" equalAverage="0" bottom="0" percent="0" rank="0" text="C" dxfId="17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18">
      <formula>NOT(ISERROR(SEARCH("AD",P10)))</formula>
    </cfRule>
    <cfRule type="containsText" priority="20" operator="containsText" aboveAverage="0" equalAverage="0" bottom="0" percent="0" rank="0" text="A" dxfId="19">
      <formula>NOT(ISERROR(SEARCH("A",P10)))</formula>
    </cfRule>
    <cfRule type="containsText" priority="21" operator="containsText" aboveAverage="0" equalAverage="0" bottom="0" percent="0" rank="0" text="B" dxfId="20">
      <formula>NOT(ISERROR(SEARCH("B",P10)))</formula>
    </cfRule>
    <cfRule type="containsText" priority="22" operator="containsText" aboveAverage="0" equalAverage="0" bottom="0" percent="0" rank="0" text="C" dxfId="21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22">
      <formula>NOT(ISERROR(SEARCH("AD",I10)))</formula>
    </cfRule>
    <cfRule type="containsText" priority="24" operator="containsText" aboveAverage="0" equalAverage="0" bottom="0" percent="0" rank="0" text="A" dxfId="23">
      <formula>NOT(ISERROR(SEARCH("A",I10)))</formula>
    </cfRule>
    <cfRule type="containsText" priority="25" operator="containsText" aboveAverage="0" equalAverage="0" bottom="0" percent="0" rank="0" text="B" dxfId="24">
      <formula>NOT(ISERROR(SEARCH("B",I10)))</formula>
    </cfRule>
    <cfRule type="containsText" priority="26" operator="containsText" aboveAverage="0" equalAverage="0" bottom="0" percent="0" rank="0" text="C" dxfId="25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26">
      <formula>NOT(ISERROR(SEARCH("A",AJ10)))</formula>
    </cfRule>
    <cfRule type="containsText" priority="28" operator="containsText" aboveAverage="0" equalAverage="0" bottom="0" percent="0" rank="0" text="C" dxfId="27">
      <formula>NOT(ISERROR(SEARCH("C",AJ10)))</formula>
    </cfRule>
    <cfRule type="containsText" priority="29" operator="containsText" aboveAverage="0" equalAverage="0" bottom="0" percent="0" rank="0" text="B" dxfId="28">
      <formula>NOT(ISERROR(SEARCH("B",AJ10)))</formula>
    </cfRule>
    <cfRule type="containsText" priority="30" operator="containsText" aboveAverage="0" equalAverage="0" bottom="0" percent="0" rank="0" text="AD" dxfId="29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30">
      <formula>NOT(ISERROR(SEARCH("A",AE10)))</formula>
    </cfRule>
    <cfRule type="containsText" priority="32" operator="containsText" aboveAverage="0" equalAverage="0" bottom="0" percent="0" rank="0" text="C" dxfId="31">
      <formula>NOT(ISERROR(SEARCH("C",AE10)))</formula>
    </cfRule>
    <cfRule type="containsText" priority="33" operator="containsText" aboveAverage="0" equalAverage="0" bottom="0" percent="0" rank="0" text="B" dxfId="32">
      <formula>NOT(ISERROR(SEARCH("B",AE10)))</formula>
    </cfRule>
    <cfRule type="containsText" priority="34" operator="containsText" aboveAverage="0" equalAverage="0" bottom="0" percent="0" rank="0" text="AD" dxfId="33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34">
      <formula>NOT(ISERROR(SEARCH("A",X10)))</formula>
    </cfRule>
    <cfRule type="containsText" priority="36" operator="containsText" aboveAverage="0" equalAverage="0" bottom="0" percent="0" rank="0" text="C" dxfId="35">
      <formula>NOT(ISERROR(SEARCH("C",X10)))</formula>
    </cfRule>
    <cfRule type="containsText" priority="37" operator="containsText" aboveAverage="0" equalAverage="0" bottom="0" percent="0" rank="0" text="B" dxfId="36">
      <formula>NOT(ISERROR(SEARCH("B",X10)))</formula>
    </cfRule>
    <cfRule type="containsText" priority="38" operator="containsText" aboveAverage="0" equalAverage="0" bottom="0" percent="0" rank="0" text="AD" dxfId="37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38">
      <formula>NOT(ISERROR(SEARCH("A",R10)))</formula>
    </cfRule>
    <cfRule type="containsText" priority="40" operator="containsText" aboveAverage="0" equalAverage="0" bottom="0" percent="0" rank="0" text="C" dxfId="39">
      <formula>NOT(ISERROR(SEARCH("C",R10)))</formula>
    </cfRule>
    <cfRule type="containsText" priority="41" operator="containsText" aboveAverage="0" equalAverage="0" bottom="0" percent="0" rank="0" text="B" dxfId="40">
      <formula>NOT(ISERROR(SEARCH("B",R10)))</formula>
    </cfRule>
    <cfRule type="containsText" priority="42" operator="containsText" aboveAverage="0" equalAverage="0" bottom="0" percent="0" rank="0" text="AD" dxfId="41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42">
      <formula>NOT(ISERROR(SEARCH("A",K10)))</formula>
    </cfRule>
    <cfRule type="containsText" priority="44" operator="containsText" aboveAverage="0" equalAverage="0" bottom="0" percent="0" rank="0" text="C" dxfId="43">
      <formula>NOT(ISERROR(SEARCH("C",K10)))</formula>
    </cfRule>
    <cfRule type="containsText" priority="45" operator="containsText" aboveAverage="0" equalAverage="0" bottom="0" percent="0" rank="0" text="B" dxfId="44">
      <formula>NOT(ISERROR(SEARCH("B",K10)))</formula>
    </cfRule>
    <cfRule type="containsText" priority="46" operator="containsText" aboveAverage="0" equalAverage="0" bottom="0" percent="0" rank="0" text="AD" dxfId="45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46">
      <formula>NOT(ISERROR(SEARCH("A",C10)))</formula>
    </cfRule>
    <cfRule type="containsText" priority="48" operator="containsText" aboveAverage="0" equalAverage="0" bottom="0" percent="0" rank="0" text="C" dxfId="47">
      <formula>NOT(ISERROR(SEARCH("C",C10)))</formula>
    </cfRule>
    <cfRule type="containsText" priority="49" operator="containsText" aboveAverage="0" equalAverage="0" bottom="0" percent="0" rank="0" text="B" dxfId="48">
      <formula>NOT(ISERROR(SEARCH("B",C10)))</formula>
    </cfRule>
    <cfRule type="containsText" priority="50" operator="containsText" aboveAverage="0" equalAverage="0" bottom="0" percent="0" rank="0" text="AD" dxfId="49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E7" activeCellId="0" sqref="AE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52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Se comunica oralmente en su lengua materna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Lee diversos tipos de textos escritos en su lengua materna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>Escribe diversos tipos de textos en lengua materna</v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Obtiene información de textos orales</v>
      </c>
      <c r="D9" s="122" t="str">
        <f aca="false">IF(IF($C$8="","",VLOOKUP($C$8,'Competencias y capacidades'!$H$2:$N$33,3,FALSE()))=0,"",IF($C$8="","",VLOOKUP($C$8,'Competencias y capacidades'!$H$2:$N$33,3,FALSE())))</f>
        <v>Infiere e interpreta información de textos orales</v>
      </c>
      <c r="E9" s="122" t="str">
        <f aca="false">IF(IF($C$8="","",VLOOKUP($C$8,'Competencias y capacidades'!$H$2:$N$33,4,FALSE()))=0,"",IF($C$8="","",VLOOKUP($C$8,'Competencias y capacidades'!$H$2:$N$33,4,FALSE())))</f>
        <v>Adecua, organiza y desarrolla las ideas de forma coherente y cohesionada</v>
      </c>
      <c r="F9" s="122" t="str">
        <f aca="false">IF(IF($C$8="","",VLOOKUP($C$8,'Competencias y capacidades'!$H$2:$N$33,5,FALSE()))=0,"",IF($C$8="","",VLOOKUP($C$8,'Competencias y capacidades'!$H$2:$N$33,5,FALSE())))</f>
        <v>Utiliza recursos no verbales y paraverbales de forma estratégica</v>
      </c>
      <c r="G9" s="122" t="str">
        <f aca="false">IF(IF($C$8="","",VLOOKUP($C$8,'Competencias y capacidades'!$H$2:$N$33,6,FALSE()))=0,"",IF($C$8="","",VLOOKUP($C$8,'Competencias y capacidades'!$H$2:$N$33,6,FALSE())))</f>
        <v>Interactúa estratégicamente con distintos interlocutores</v>
      </c>
      <c r="H9" s="122" t="str">
        <f aca="false">IF(IF($C$8="","",VLOOKUP($C$8,'Competencias y capacidades'!$H$2:$N$33,7,FALSE()))=0,"",IF($C$8="","",VLOOKUP($C$8,'Competencias y capacidades'!$H$2:$N$33,7,FALSE())))</f>
        <v>Reflexiona y evalúa la forma, el contenido y el contexto del texto oral</v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Obtiene información del texto escrito</v>
      </c>
      <c r="L9" s="122" t="str">
        <f aca="false">IF(IF($K$8="","",VLOOKUP($K$8,'Competencias y capacidades'!$H$2:$N$33,3,FALSE()))=0,"",IF($K$8="","",VLOOKUP($K$8,'Competencias y capacidades'!$H$2:$N$33,3,FALSE())))</f>
        <v>Infiere e interpreta información del texto</v>
      </c>
      <c r="M9" s="122" t="str">
        <f aca="false">IF(IF($K$8="","",VLOOKUP($K$8,'Competencias y capacidades'!$H$2:$N$33,4,FALSE()))=0,"",IF($K$8="","",VLOOKUP($K$8,'Competencias y capacidades'!$H$2:$N$33,4,FALSE())))</f>
        <v>Reflexiona y evalúa la forma, el contenido y el contexto del texto escrito</v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>Adecúa el texto a la situación comunicativa</v>
      </c>
      <c r="S9" s="122" t="str">
        <f aca="false">IF(IF($R$8="","",VLOOKUP($R$8,'Competencias y capacidades'!$H$2:$N$33,3,FALSE()))=0,"",IF($R$8="","",VLOOKUP($R$8,'Competencias y capacidades'!$H$2:$N$33,3,FALSE())))</f>
        <v>Organiza y desarrolla las ideas de forma coherente y cohesionada</v>
      </c>
      <c r="T9" s="122" t="str">
        <f aca="false">IF(IF($R$8="","",VLOOKUP($R$8,'Competencias y capacidades'!$H$2:$N$33,4,FALSE()))=0,"",IF($R$8="","",VLOOKUP($R$8,'Competencias y capacidades'!$H$2:$N$33,4,FALSE())))</f>
        <v>Utiliza convenciones del lenguaje escrito de forma pertinente</v>
      </c>
      <c r="U9" s="122" t="str">
        <f aca="false">IF(IF($R$8="","",VLOOKUP($R$8,'Competencias y capacidades'!$H$2:$N$33,5,FALSE()))=0,"",IF($R$8="","",VLOOKUP($R$8,'Competencias y capacidades'!$H$2:$N$33,5,FALSE())))</f>
        <v>Reflexiona y evalúa la forma, el contenido y el contexto del texto escrito</v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50">
      <formula>0</formula>
    </cfRule>
  </conditionalFormatting>
  <conditionalFormatting sqref="AM10:AM47">
    <cfRule type="containsText" priority="3" operator="containsText" aboveAverage="0" equalAverage="0" bottom="0" percent="0" rank="0" text="AD" dxfId="51">
      <formula>NOT(ISERROR(SEARCH("AD",AM10)))</formula>
    </cfRule>
    <cfRule type="containsText" priority="4" operator="containsText" aboveAverage="0" equalAverage="0" bottom="0" percent="0" rank="0" text="A" dxfId="52">
      <formula>NOT(ISERROR(SEARCH("A",AM10)))</formula>
    </cfRule>
    <cfRule type="containsText" priority="5" operator="containsText" aboveAverage="0" equalAverage="0" bottom="0" percent="0" rank="0" text="B" dxfId="53">
      <formula>NOT(ISERROR(SEARCH("B",AM10)))</formula>
    </cfRule>
    <cfRule type="containsText" priority="6" operator="containsText" aboveAverage="0" equalAverage="0" bottom="0" percent="0" rank="0" text="C" dxfId="54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55">
      <formula>NOT(ISERROR(SEARCH("AD",AI10)))</formula>
    </cfRule>
    <cfRule type="containsText" priority="8" operator="containsText" aboveAverage="0" equalAverage="0" bottom="0" percent="0" rank="0" text="A" dxfId="56">
      <formula>NOT(ISERROR(SEARCH("A",AI10)))</formula>
    </cfRule>
    <cfRule type="containsText" priority="9" operator="containsText" aboveAverage="0" equalAverage="0" bottom="0" percent="0" rank="0" text="B" dxfId="57">
      <formula>NOT(ISERROR(SEARCH("B",AI10)))</formula>
    </cfRule>
    <cfRule type="containsText" priority="10" operator="containsText" aboveAverage="0" equalAverage="0" bottom="0" percent="0" rank="0" text="C" dxfId="58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59">
      <formula>NOT(ISERROR(SEARCH("AD",AB10)))</formula>
    </cfRule>
    <cfRule type="containsText" priority="12" operator="containsText" aboveAverage="0" equalAverage="0" bottom="0" percent="0" rank="0" text="A" dxfId="60">
      <formula>NOT(ISERROR(SEARCH("A",AB10)))</formula>
    </cfRule>
    <cfRule type="containsText" priority="13" operator="containsText" aboveAverage="0" equalAverage="0" bottom="0" percent="0" rank="0" text="B" dxfId="61">
      <formula>NOT(ISERROR(SEARCH("B",AB10)))</formula>
    </cfRule>
    <cfRule type="containsText" priority="14" operator="containsText" aboveAverage="0" equalAverage="0" bottom="0" percent="0" rank="0" text="C" dxfId="62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63">
      <formula>NOT(ISERROR(SEARCH("AD",V10)))</formula>
    </cfRule>
    <cfRule type="containsText" priority="16" operator="containsText" aboveAverage="0" equalAverage="0" bottom="0" percent="0" rank="0" text="A" dxfId="64">
      <formula>NOT(ISERROR(SEARCH("A",V10)))</formula>
    </cfRule>
    <cfRule type="containsText" priority="17" operator="containsText" aboveAverage="0" equalAverage="0" bottom="0" percent="0" rank="0" text="B" dxfId="65">
      <formula>NOT(ISERROR(SEARCH("B",V10)))</formula>
    </cfRule>
    <cfRule type="containsText" priority="18" operator="containsText" aboveAverage="0" equalAverage="0" bottom="0" percent="0" rank="0" text="C" dxfId="66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67">
      <formula>NOT(ISERROR(SEARCH("AD",P10)))</formula>
    </cfRule>
    <cfRule type="containsText" priority="20" operator="containsText" aboveAverage="0" equalAverage="0" bottom="0" percent="0" rank="0" text="A" dxfId="68">
      <formula>NOT(ISERROR(SEARCH("A",P10)))</formula>
    </cfRule>
    <cfRule type="containsText" priority="21" operator="containsText" aboveAverage="0" equalAverage="0" bottom="0" percent="0" rank="0" text="B" dxfId="69">
      <formula>NOT(ISERROR(SEARCH("B",P10)))</formula>
    </cfRule>
    <cfRule type="containsText" priority="22" operator="containsText" aboveAverage="0" equalAverage="0" bottom="0" percent="0" rank="0" text="C" dxfId="70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71">
      <formula>NOT(ISERROR(SEARCH("AD",I10)))</formula>
    </cfRule>
    <cfRule type="containsText" priority="24" operator="containsText" aboveAverage="0" equalAverage="0" bottom="0" percent="0" rank="0" text="A" dxfId="72">
      <formula>NOT(ISERROR(SEARCH("A",I10)))</formula>
    </cfRule>
    <cfRule type="containsText" priority="25" operator="containsText" aboveAverage="0" equalAverage="0" bottom="0" percent="0" rank="0" text="B" dxfId="73">
      <formula>NOT(ISERROR(SEARCH("B",I10)))</formula>
    </cfRule>
    <cfRule type="containsText" priority="26" operator="containsText" aboveAverage="0" equalAverage="0" bottom="0" percent="0" rank="0" text="C" dxfId="74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75">
      <formula>NOT(ISERROR(SEARCH("A",AJ10)))</formula>
    </cfRule>
    <cfRule type="containsText" priority="28" operator="containsText" aboveAverage="0" equalAverage="0" bottom="0" percent="0" rank="0" text="C" dxfId="76">
      <formula>NOT(ISERROR(SEARCH("C",AJ10)))</formula>
    </cfRule>
    <cfRule type="containsText" priority="29" operator="containsText" aboveAverage="0" equalAverage="0" bottom="0" percent="0" rank="0" text="B" dxfId="77">
      <formula>NOT(ISERROR(SEARCH("B",AJ10)))</formula>
    </cfRule>
    <cfRule type="containsText" priority="30" operator="containsText" aboveAverage="0" equalAverage="0" bottom="0" percent="0" rank="0" text="AD" dxfId="78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79">
      <formula>NOT(ISERROR(SEARCH("A",AE10)))</formula>
    </cfRule>
    <cfRule type="containsText" priority="32" operator="containsText" aboveAverage="0" equalAverage="0" bottom="0" percent="0" rank="0" text="C" dxfId="80">
      <formula>NOT(ISERROR(SEARCH("C",AE10)))</formula>
    </cfRule>
    <cfRule type="containsText" priority="33" operator="containsText" aboveAverage="0" equalAverage="0" bottom="0" percent="0" rank="0" text="B" dxfId="81">
      <formula>NOT(ISERROR(SEARCH("B",AE10)))</formula>
    </cfRule>
    <cfRule type="containsText" priority="34" operator="containsText" aboveAverage="0" equalAverage="0" bottom="0" percent="0" rank="0" text="AD" dxfId="82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83">
      <formula>NOT(ISERROR(SEARCH("A",X10)))</formula>
    </cfRule>
    <cfRule type="containsText" priority="36" operator="containsText" aboveAverage="0" equalAverage="0" bottom="0" percent="0" rank="0" text="C" dxfId="84">
      <formula>NOT(ISERROR(SEARCH("C",X10)))</formula>
    </cfRule>
    <cfRule type="containsText" priority="37" operator="containsText" aboveAverage="0" equalAverage="0" bottom="0" percent="0" rank="0" text="B" dxfId="85">
      <formula>NOT(ISERROR(SEARCH("B",X10)))</formula>
    </cfRule>
    <cfRule type="containsText" priority="38" operator="containsText" aboveAverage="0" equalAverage="0" bottom="0" percent="0" rank="0" text="AD" dxfId="86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87">
      <formula>NOT(ISERROR(SEARCH("A",R10)))</formula>
    </cfRule>
    <cfRule type="containsText" priority="40" operator="containsText" aboveAverage="0" equalAverage="0" bottom="0" percent="0" rank="0" text="C" dxfId="88">
      <formula>NOT(ISERROR(SEARCH("C",R10)))</formula>
    </cfRule>
    <cfRule type="containsText" priority="41" operator="containsText" aboveAverage="0" equalAverage="0" bottom="0" percent="0" rank="0" text="B" dxfId="89">
      <formula>NOT(ISERROR(SEARCH("B",R10)))</formula>
    </cfRule>
    <cfRule type="containsText" priority="42" operator="containsText" aboveAverage="0" equalAverage="0" bottom="0" percent="0" rank="0" text="AD" dxfId="90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91">
      <formula>NOT(ISERROR(SEARCH("A",K10)))</formula>
    </cfRule>
    <cfRule type="containsText" priority="44" operator="containsText" aboveAverage="0" equalAverage="0" bottom="0" percent="0" rank="0" text="C" dxfId="92">
      <formula>NOT(ISERROR(SEARCH("C",K10)))</formula>
    </cfRule>
    <cfRule type="containsText" priority="45" operator="containsText" aboveAverage="0" equalAverage="0" bottom="0" percent="0" rank="0" text="B" dxfId="93">
      <formula>NOT(ISERROR(SEARCH("B",K10)))</formula>
    </cfRule>
    <cfRule type="containsText" priority="46" operator="containsText" aboveAverage="0" equalAverage="0" bottom="0" percent="0" rank="0" text="AD" dxfId="94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95">
      <formula>NOT(ISERROR(SEARCH("A",C10)))</formula>
    </cfRule>
    <cfRule type="containsText" priority="48" operator="containsText" aboveAverage="0" equalAverage="0" bottom="0" percent="0" rank="0" text="C" dxfId="96">
      <formula>NOT(ISERROR(SEARCH("C",C10)))</formula>
    </cfRule>
    <cfRule type="containsText" priority="49" operator="containsText" aboveAverage="0" equalAverage="0" bottom="0" percent="0" rank="0" text="B" dxfId="97">
      <formula>NOT(ISERROR(SEARCH("B",C10)))</formula>
    </cfRule>
    <cfRule type="containsText" priority="50" operator="containsText" aboveAverage="0" equalAverage="0" bottom="0" percent="0" rank="0" text="AD" dxfId="98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E7" activeCellId="0" sqref="AE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32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Indaga mediante métodos cientificos para construir conocimientos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Explica el mundo físico basándose en conocimientos sobre los seres vivos; materia y energía; biodiversidad, Tierra y universo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>Diseña y construye soluciones tecnológicas para resolver problemas de su entorno</v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Problematiza situaciones</v>
      </c>
      <c r="D9" s="122" t="str">
        <f aca="false">IF(IF($C$8="","",VLOOKUP($C$8,'Competencias y capacidades'!$H$2:$N$33,3,FALSE()))=0,"",IF($C$8="","",VLOOKUP($C$8,'Competencias y capacidades'!$H$2:$N$33,3,FALSE())))</f>
        <v>Diseña estrategias para hacer indagación</v>
      </c>
      <c r="E9" s="122" t="str">
        <f aca="false">IF(IF($C$8="","",VLOOKUP($C$8,'Competencias y capacidades'!$H$2:$N$33,4,FALSE()))=0,"",IF($C$8="","",VLOOKUP($C$8,'Competencias y capacidades'!$H$2:$N$33,4,FALSE())))</f>
        <v>Genera y registra datos e información</v>
      </c>
      <c r="F9" s="122" t="str">
        <f aca="false">IF(IF($C$8="","",VLOOKUP($C$8,'Competencias y capacidades'!$H$2:$N$33,5,FALSE()))=0,"",IF($C$8="","",VLOOKUP($C$8,'Competencias y capacidades'!$H$2:$N$33,5,FALSE())))</f>
        <v>Analiza datos e información</v>
      </c>
      <c r="G9" s="122" t="str">
        <f aca="false">IF(IF($C$8="","",VLOOKUP($C$8,'Competencias y capacidades'!$H$2:$N$33,6,FALSE()))=0,"",IF($C$8="","",VLOOKUP($C$8,'Competencias y capacidades'!$H$2:$N$33,6,FALSE())))</f>
        <v>Evalúa y comunica el proceso y los resultados de su indagación</v>
      </c>
      <c r="H9" s="122" t="str">
        <f aca="false">IF(IF($C$8="","",VLOOKUP($C$8,'Competencias y capacidades'!$H$2:$N$33,7,FALSE()))=0,"",IF($C$8="","",VLOOKUP($C$8,'Competencias y capacidades'!$H$2:$N$33,7,FALSE())))</f>
        <v/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Comprende y usa conocimientos sobre los seres vivos; materia y energía; biodiversidad, Tierra y universo</v>
      </c>
      <c r="L9" s="122" t="str">
        <f aca="false">IF(IF($K$8="","",VLOOKUP($K$8,'Competencias y capacidades'!$H$2:$N$33,3,FALSE()))=0,"",IF($K$8="","",VLOOKUP($K$8,'Competencias y capacidades'!$H$2:$N$33,3,FALSE())))</f>
        <v> Evalúa las implicancias del saber y del quehacer cientifico y tecnológico</v>
      </c>
      <c r="M9" s="122" t="str">
        <f aca="false">IF(IF($K$8="","",VLOOKUP($K$8,'Competencias y capacidades'!$H$2:$N$33,4,FALSE()))=0,"",IF($K$8="","",VLOOKUP($K$8,'Competencias y capacidades'!$H$2:$N$33,4,FALSE())))</f>
        <v/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>Determina una alternativa de solución tecnológica</v>
      </c>
      <c r="S9" s="122" t="str">
        <f aca="false">IF(IF($R$8="","",VLOOKUP($R$8,'Competencias y capacidades'!$H$2:$N$33,3,FALSE()))=0,"",IF($R$8="","",VLOOKUP($R$8,'Competencias y capacidades'!$H$2:$N$33,3,FALSE())))</f>
        <v> Diseña la alternativa de solución tecnológica</v>
      </c>
      <c r="T9" s="122" t="str">
        <f aca="false">IF(IF($R$8="","",VLOOKUP($R$8,'Competencias y capacidades'!$H$2:$N$33,4,FALSE()))=0,"",IF($R$8="","",VLOOKUP($R$8,'Competencias y capacidades'!$H$2:$N$33,4,FALSE())))</f>
        <v>Implementa y valida alternativas de solución tecnológica</v>
      </c>
      <c r="U9" s="122" t="str">
        <f aca="false">IF(IF($R$8="","",VLOOKUP($R$8,'Competencias y capacidades'!$H$2:$N$33,5,FALSE()))=0,"",IF($R$8="","",VLOOKUP($R$8,'Competencias y capacidades'!$H$2:$N$33,5,FALSE())))</f>
        <v>Evalúa y comunica el funcionamiento y los impactos de su alternativa de solución tecnológica</v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99">
      <formula>0</formula>
    </cfRule>
  </conditionalFormatting>
  <conditionalFormatting sqref="AM10:AM47">
    <cfRule type="containsText" priority="3" operator="containsText" aboveAverage="0" equalAverage="0" bottom="0" percent="0" rank="0" text="AD" dxfId="100">
      <formula>NOT(ISERROR(SEARCH("AD",AM10)))</formula>
    </cfRule>
    <cfRule type="containsText" priority="4" operator="containsText" aboveAverage="0" equalAverage="0" bottom="0" percent="0" rank="0" text="A" dxfId="101">
      <formula>NOT(ISERROR(SEARCH("A",AM10)))</formula>
    </cfRule>
    <cfRule type="containsText" priority="5" operator="containsText" aboveAverage="0" equalAverage="0" bottom="0" percent="0" rank="0" text="B" dxfId="102">
      <formula>NOT(ISERROR(SEARCH("B",AM10)))</formula>
    </cfRule>
    <cfRule type="containsText" priority="6" operator="containsText" aboveAverage="0" equalAverage="0" bottom="0" percent="0" rank="0" text="C" dxfId="103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104">
      <formula>NOT(ISERROR(SEARCH("AD",AI10)))</formula>
    </cfRule>
    <cfRule type="containsText" priority="8" operator="containsText" aboveAverage="0" equalAverage="0" bottom="0" percent="0" rank="0" text="A" dxfId="105">
      <formula>NOT(ISERROR(SEARCH("A",AI10)))</formula>
    </cfRule>
    <cfRule type="containsText" priority="9" operator="containsText" aboveAverage="0" equalAverage="0" bottom="0" percent="0" rank="0" text="B" dxfId="106">
      <formula>NOT(ISERROR(SEARCH("B",AI10)))</formula>
    </cfRule>
    <cfRule type="containsText" priority="10" operator="containsText" aboveAverage="0" equalAverage="0" bottom="0" percent="0" rank="0" text="C" dxfId="107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108">
      <formula>NOT(ISERROR(SEARCH("AD",AB10)))</formula>
    </cfRule>
    <cfRule type="containsText" priority="12" operator="containsText" aboveAverage="0" equalAverage="0" bottom="0" percent="0" rank="0" text="A" dxfId="109">
      <formula>NOT(ISERROR(SEARCH("A",AB10)))</formula>
    </cfRule>
    <cfRule type="containsText" priority="13" operator="containsText" aboveAverage="0" equalAverage="0" bottom="0" percent="0" rank="0" text="B" dxfId="110">
      <formula>NOT(ISERROR(SEARCH("B",AB10)))</formula>
    </cfRule>
    <cfRule type="containsText" priority="14" operator="containsText" aboveAverage="0" equalAverage="0" bottom="0" percent="0" rank="0" text="C" dxfId="111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112">
      <formula>NOT(ISERROR(SEARCH("AD",V10)))</formula>
    </cfRule>
    <cfRule type="containsText" priority="16" operator="containsText" aboveAverage="0" equalAverage="0" bottom="0" percent="0" rank="0" text="A" dxfId="113">
      <formula>NOT(ISERROR(SEARCH("A",V10)))</formula>
    </cfRule>
    <cfRule type="containsText" priority="17" operator="containsText" aboveAverage="0" equalAverage="0" bottom="0" percent="0" rank="0" text="B" dxfId="114">
      <formula>NOT(ISERROR(SEARCH("B",V10)))</formula>
    </cfRule>
    <cfRule type="containsText" priority="18" operator="containsText" aboveAverage="0" equalAverage="0" bottom="0" percent="0" rank="0" text="C" dxfId="115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116">
      <formula>NOT(ISERROR(SEARCH("AD",P10)))</formula>
    </cfRule>
    <cfRule type="containsText" priority="20" operator="containsText" aboveAverage="0" equalAverage="0" bottom="0" percent="0" rank="0" text="A" dxfId="117">
      <formula>NOT(ISERROR(SEARCH("A",P10)))</formula>
    </cfRule>
    <cfRule type="containsText" priority="21" operator="containsText" aboveAverage="0" equalAverage="0" bottom="0" percent="0" rank="0" text="B" dxfId="118">
      <formula>NOT(ISERROR(SEARCH("B",P10)))</formula>
    </cfRule>
    <cfRule type="containsText" priority="22" operator="containsText" aboveAverage="0" equalAverage="0" bottom="0" percent="0" rank="0" text="C" dxfId="119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120">
      <formula>NOT(ISERROR(SEARCH("AD",I10)))</formula>
    </cfRule>
    <cfRule type="containsText" priority="24" operator="containsText" aboveAverage="0" equalAverage="0" bottom="0" percent="0" rank="0" text="A" dxfId="121">
      <formula>NOT(ISERROR(SEARCH("A",I10)))</formula>
    </cfRule>
    <cfRule type="containsText" priority="25" operator="containsText" aboveAverage="0" equalAverage="0" bottom="0" percent="0" rank="0" text="B" dxfId="122">
      <formula>NOT(ISERROR(SEARCH("B",I10)))</formula>
    </cfRule>
    <cfRule type="containsText" priority="26" operator="containsText" aboveAverage="0" equalAverage="0" bottom="0" percent="0" rank="0" text="C" dxfId="123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124">
      <formula>NOT(ISERROR(SEARCH("A",AJ10)))</formula>
    </cfRule>
    <cfRule type="containsText" priority="28" operator="containsText" aboveAverage="0" equalAverage="0" bottom="0" percent="0" rank="0" text="C" dxfId="125">
      <formula>NOT(ISERROR(SEARCH("C",AJ10)))</formula>
    </cfRule>
    <cfRule type="containsText" priority="29" operator="containsText" aboveAverage="0" equalAverage="0" bottom="0" percent="0" rank="0" text="B" dxfId="126">
      <formula>NOT(ISERROR(SEARCH("B",AJ10)))</formula>
    </cfRule>
    <cfRule type="containsText" priority="30" operator="containsText" aboveAverage="0" equalAverage="0" bottom="0" percent="0" rank="0" text="AD" dxfId="127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128">
      <formula>NOT(ISERROR(SEARCH("A",AE10)))</formula>
    </cfRule>
    <cfRule type="containsText" priority="32" operator="containsText" aboveAverage="0" equalAverage="0" bottom="0" percent="0" rank="0" text="C" dxfId="129">
      <formula>NOT(ISERROR(SEARCH("C",AE10)))</formula>
    </cfRule>
    <cfRule type="containsText" priority="33" operator="containsText" aboveAverage="0" equalAverage="0" bottom="0" percent="0" rank="0" text="B" dxfId="130">
      <formula>NOT(ISERROR(SEARCH("B",AE10)))</formula>
    </cfRule>
    <cfRule type="containsText" priority="34" operator="containsText" aboveAverage="0" equalAverage="0" bottom="0" percent="0" rank="0" text="AD" dxfId="131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132">
      <formula>NOT(ISERROR(SEARCH("A",X10)))</formula>
    </cfRule>
    <cfRule type="containsText" priority="36" operator="containsText" aboveAverage="0" equalAverage="0" bottom="0" percent="0" rank="0" text="C" dxfId="133">
      <formula>NOT(ISERROR(SEARCH("C",X10)))</formula>
    </cfRule>
    <cfRule type="containsText" priority="37" operator="containsText" aboveAverage="0" equalAverage="0" bottom="0" percent="0" rank="0" text="B" dxfId="134">
      <formula>NOT(ISERROR(SEARCH("B",X10)))</formula>
    </cfRule>
    <cfRule type="containsText" priority="38" operator="containsText" aboveAverage="0" equalAverage="0" bottom="0" percent="0" rank="0" text="AD" dxfId="135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136">
      <formula>NOT(ISERROR(SEARCH("A",R10)))</formula>
    </cfRule>
    <cfRule type="containsText" priority="40" operator="containsText" aboveAverage="0" equalAverage="0" bottom="0" percent="0" rank="0" text="C" dxfId="137">
      <formula>NOT(ISERROR(SEARCH("C",R10)))</formula>
    </cfRule>
    <cfRule type="containsText" priority="41" operator="containsText" aboveAverage="0" equalAverage="0" bottom="0" percent="0" rank="0" text="B" dxfId="138">
      <formula>NOT(ISERROR(SEARCH("B",R10)))</formula>
    </cfRule>
    <cfRule type="containsText" priority="42" operator="containsText" aboveAverage="0" equalAverage="0" bottom="0" percent="0" rank="0" text="AD" dxfId="139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140">
      <formula>NOT(ISERROR(SEARCH("A",K10)))</formula>
    </cfRule>
    <cfRule type="containsText" priority="44" operator="containsText" aboveAverage="0" equalAverage="0" bottom="0" percent="0" rank="0" text="C" dxfId="141">
      <formula>NOT(ISERROR(SEARCH("C",K10)))</formula>
    </cfRule>
    <cfRule type="containsText" priority="45" operator="containsText" aboveAverage="0" equalAverage="0" bottom="0" percent="0" rank="0" text="B" dxfId="142">
      <formula>NOT(ISERROR(SEARCH("B",K10)))</formula>
    </cfRule>
    <cfRule type="containsText" priority="46" operator="containsText" aboveAverage="0" equalAverage="0" bottom="0" percent="0" rank="0" text="AD" dxfId="143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144">
      <formula>NOT(ISERROR(SEARCH("A",C10)))</formula>
    </cfRule>
    <cfRule type="containsText" priority="48" operator="containsText" aboveAverage="0" equalAverage="0" bottom="0" percent="0" rank="0" text="C" dxfId="145">
      <formula>NOT(ISERROR(SEARCH("C",C10)))</formula>
    </cfRule>
    <cfRule type="containsText" priority="49" operator="containsText" aboveAverage="0" equalAverage="0" bottom="0" percent="0" rank="0" text="B" dxfId="146">
      <formula>NOT(ISERROR(SEARCH("B",C10)))</formula>
    </cfRule>
    <cfRule type="containsText" priority="50" operator="containsText" aboveAverage="0" equalAverage="0" bottom="0" percent="0" rank="0" text="AD" dxfId="147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W10" activeCellId="0" sqref="W10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36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Construye interpretaciones históricas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Gestiona responsablemente el espacio y el ambiente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>Gestiona responsablemente los recursos económicos</v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Interpreta críticamente fuentes diversas</v>
      </c>
      <c r="D9" s="122" t="str">
        <f aca="false">IF(IF($C$8="","",VLOOKUP($C$8,'Competencias y capacidades'!$H$2:$N$33,3,FALSE()))=0,"",IF($C$8="","",VLOOKUP($C$8,'Competencias y capacidades'!$H$2:$N$33,3,FALSE())))</f>
        <v>Comprende el tiempo histórico</v>
      </c>
      <c r="E9" s="122" t="str">
        <f aca="false">IF(IF($C$8="","",VLOOKUP($C$8,'Competencias y capacidades'!$H$2:$N$33,4,FALSE()))=0,"",IF($C$8="","",VLOOKUP($C$8,'Competencias y capacidades'!$H$2:$N$33,4,FALSE())))</f>
        <v>Explica y argumenta procesos históricos</v>
      </c>
      <c r="F9" s="122" t="str">
        <f aca="false">IF(IF($C$8="","",VLOOKUP($C$8,'Competencias y capacidades'!$H$2:$N$33,5,FALSE()))=0,"",IF($C$8="","",VLOOKUP($C$8,'Competencias y capacidades'!$H$2:$N$33,5,FALSE())))</f>
        <v/>
      </c>
      <c r="G9" s="122" t="str">
        <f aca="false">IF(IF($C$8="","",VLOOKUP($C$8,'Competencias y capacidades'!$H$2:$N$33,6,FALSE()))=0,"",IF($C$8="","",VLOOKUP($C$8,'Competencias y capacidades'!$H$2:$N$33,6,FALSE())))</f>
        <v/>
      </c>
      <c r="H9" s="122" t="str">
        <f aca="false">IF(IF($C$8="","",VLOOKUP($C$8,'Competencias y capacidades'!$H$2:$N$33,7,FALSE()))=0,"",IF($C$8="","",VLOOKUP($C$8,'Competencias y capacidades'!$H$2:$N$33,7,FALSE())))</f>
        <v/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Comprende las relaciones entre los elementos naturales y sociales</v>
      </c>
      <c r="L9" s="122" t="str">
        <f aca="false">IF(IF($K$8="","",VLOOKUP($K$8,'Competencias y capacidades'!$H$2:$N$33,3,FALSE()))=0,"",IF($K$8="","",VLOOKUP($K$8,'Competencias y capacidades'!$H$2:$N$33,3,FALSE())))</f>
        <v>Maneja fuentes de información para comprender el espacio geográfico y el ambiente</v>
      </c>
      <c r="M9" s="122" t="str">
        <f aca="false">IF(IF($K$8="","",VLOOKUP($K$8,'Competencias y capacidades'!$H$2:$N$33,4,FALSE()))=0,"",IF($K$8="","",VLOOKUP($K$8,'Competencias y capacidades'!$H$2:$N$33,4,FALSE())))</f>
        <v>Genera acciones para preservar el ambiente local y global</v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>Comprende las relaciones entre los elementos del sistema económico y financiero</v>
      </c>
      <c r="S9" s="122" t="str">
        <f aca="false">IF(IF($R$8="","",VLOOKUP($R$8,'Competencias y capacidades'!$H$2:$N$33,3,FALSE()))=0,"",IF($R$8="","",VLOOKUP($R$8,'Competencias y capacidades'!$H$2:$N$33,3,FALSE())))</f>
        <v>Toma decisiones económicas y financieras</v>
      </c>
      <c r="T9" s="122" t="str">
        <f aca="false">IF(IF($R$8="","",VLOOKUP($R$8,'Competencias y capacidades'!$H$2:$N$33,4,FALSE()))=0,"",IF($R$8="","",VLOOKUP($R$8,'Competencias y capacidades'!$H$2:$N$33,4,FALSE())))</f>
        <v/>
      </c>
      <c r="U9" s="122" t="str">
        <f aca="false">IF(IF($R$8="","",VLOOKUP($R$8,'Competencias y capacidades'!$H$2:$N$33,5,FALSE()))=0,"",IF($R$8="","",VLOOKUP($R$8,'Competencias y capacidades'!$H$2:$N$33,5,FALSE())))</f>
        <v/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148">
      <formula>0</formula>
    </cfRule>
  </conditionalFormatting>
  <conditionalFormatting sqref="AM10:AM47">
    <cfRule type="containsText" priority="3" operator="containsText" aboveAverage="0" equalAverage="0" bottom="0" percent="0" rank="0" text="AD" dxfId="149">
      <formula>NOT(ISERROR(SEARCH("AD",AM10)))</formula>
    </cfRule>
    <cfRule type="containsText" priority="4" operator="containsText" aboveAverage="0" equalAverage="0" bottom="0" percent="0" rank="0" text="A" dxfId="150">
      <formula>NOT(ISERROR(SEARCH("A",AM10)))</formula>
    </cfRule>
    <cfRule type="containsText" priority="5" operator="containsText" aboveAverage="0" equalAverage="0" bottom="0" percent="0" rank="0" text="B" dxfId="151">
      <formula>NOT(ISERROR(SEARCH("B",AM10)))</formula>
    </cfRule>
    <cfRule type="containsText" priority="6" operator="containsText" aboveAverage="0" equalAverage="0" bottom="0" percent="0" rank="0" text="C" dxfId="152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153">
      <formula>NOT(ISERROR(SEARCH("AD",AI10)))</formula>
    </cfRule>
    <cfRule type="containsText" priority="8" operator="containsText" aboveAverage="0" equalAverage="0" bottom="0" percent="0" rank="0" text="A" dxfId="154">
      <formula>NOT(ISERROR(SEARCH("A",AI10)))</formula>
    </cfRule>
    <cfRule type="containsText" priority="9" operator="containsText" aboveAverage="0" equalAverage="0" bottom="0" percent="0" rank="0" text="B" dxfId="155">
      <formula>NOT(ISERROR(SEARCH("B",AI10)))</formula>
    </cfRule>
    <cfRule type="containsText" priority="10" operator="containsText" aboveAverage="0" equalAverage="0" bottom="0" percent="0" rank="0" text="C" dxfId="156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157">
      <formula>NOT(ISERROR(SEARCH("AD",AB10)))</formula>
    </cfRule>
    <cfRule type="containsText" priority="12" operator="containsText" aboveAverage="0" equalAverage="0" bottom="0" percent="0" rank="0" text="A" dxfId="158">
      <formula>NOT(ISERROR(SEARCH("A",AB10)))</formula>
    </cfRule>
    <cfRule type="containsText" priority="13" operator="containsText" aboveAverage="0" equalAverage="0" bottom="0" percent="0" rank="0" text="B" dxfId="159">
      <formula>NOT(ISERROR(SEARCH("B",AB10)))</formula>
    </cfRule>
    <cfRule type="containsText" priority="14" operator="containsText" aboveAverage="0" equalAverage="0" bottom="0" percent="0" rank="0" text="C" dxfId="160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161">
      <formula>NOT(ISERROR(SEARCH("AD",V10)))</formula>
    </cfRule>
    <cfRule type="containsText" priority="16" operator="containsText" aboveAverage="0" equalAverage="0" bottom="0" percent="0" rank="0" text="A" dxfId="162">
      <formula>NOT(ISERROR(SEARCH("A",V10)))</formula>
    </cfRule>
    <cfRule type="containsText" priority="17" operator="containsText" aboveAverage="0" equalAverage="0" bottom="0" percent="0" rank="0" text="B" dxfId="163">
      <formula>NOT(ISERROR(SEARCH("B",V10)))</formula>
    </cfRule>
    <cfRule type="containsText" priority="18" operator="containsText" aboveAverage="0" equalAverage="0" bottom="0" percent="0" rank="0" text="C" dxfId="164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165">
      <formula>NOT(ISERROR(SEARCH("AD",P10)))</formula>
    </cfRule>
    <cfRule type="containsText" priority="20" operator="containsText" aboveAverage="0" equalAverage="0" bottom="0" percent="0" rank="0" text="A" dxfId="166">
      <formula>NOT(ISERROR(SEARCH("A",P10)))</formula>
    </cfRule>
    <cfRule type="containsText" priority="21" operator="containsText" aboveAverage="0" equalAverage="0" bottom="0" percent="0" rank="0" text="B" dxfId="167">
      <formula>NOT(ISERROR(SEARCH("B",P10)))</formula>
    </cfRule>
    <cfRule type="containsText" priority="22" operator="containsText" aboveAverage="0" equalAverage="0" bottom="0" percent="0" rank="0" text="C" dxfId="168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169">
      <formula>NOT(ISERROR(SEARCH("AD",I10)))</formula>
    </cfRule>
    <cfRule type="containsText" priority="24" operator="containsText" aboveAverage="0" equalAverage="0" bottom="0" percent="0" rank="0" text="A" dxfId="170">
      <formula>NOT(ISERROR(SEARCH("A",I10)))</formula>
    </cfRule>
    <cfRule type="containsText" priority="25" operator="containsText" aboveAverage="0" equalAverage="0" bottom="0" percent="0" rank="0" text="B" dxfId="171">
      <formula>NOT(ISERROR(SEARCH("B",I10)))</formula>
    </cfRule>
    <cfRule type="containsText" priority="26" operator="containsText" aboveAverage="0" equalAverage="0" bottom="0" percent="0" rank="0" text="C" dxfId="172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173">
      <formula>NOT(ISERROR(SEARCH("A",AJ10)))</formula>
    </cfRule>
    <cfRule type="containsText" priority="28" operator="containsText" aboveAverage="0" equalAverage="0" bottom="0" percent="0" rank="0" text="C" dxfId="174">
      <formula>NOT(ISERROR(SEARCH("C",AJ10)))</formula>
    </cfRule>
    <cfRule type="containsText" priority="29" operator="containsText" aboveAverage="0" equalAverage="0" bottom="0" percent="0" rank="0" text="B" dxfId="175">
      <formula>NOT(ISERROR(SEARCH("B",AJ10)))</formula>
    </cfRule>
    <cfRule type="containsText" priority="30" operator="containsText" aboveAverage="0" equalAverage="0" bottom="0" percent="0" rank="0" text="AD" dxfId="176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177">
      <formula>NOT(ISERROR(SEARCH("A",AE10)))</formula>
    </cfRule>
    <cfRule type="containsText" priority="32" operator="containsText" aboveAverage="0" equalAverage="0" bottom="0" percent="0" rank="0" text="C" dxfId="178">
      <formula>NOT(ISERROR(SEARCH("C",AE10)))</formula>
    </cfRule>
    <cfRule type="containsText" priority="33" operator="containsText" aboveAverage="0" equalAverage="0" bottom="0" percent="0" rank="0" text="B" dxfId="179">
      <formula>NOT(ISERROR(SEARCH("B",AE10)))</formula>
    </cfRule>
    <cfRule type="containsText" priority="34" operator="containsText" aboveAverage="0" equalAverage="0" bottom="0" percent="0" rank="0" text="AD" dxfId="180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181">
      <formula>NOT(ISERROR(SEARCH("A",X10)))</formula>
    </cfRule>
    <cfRule type="containsText" priority="36" operator="containsText" aboveAverage="0" equalAverage="0" bottom="0" percent="0" rank="0" text="C" dxfId="182">
      <formula>NOT(ISERROR(SEARCH("C",X10)))</formula>
    </cfRule>
    <cfRule type="containsText" priority="37" operator="containsText" aboveAverage="0" equalAverage="0" bottom="0" percent="0" rank="0" text="B" dxfId="183">
      <formula>NOT(ISERROR(SEARCH("B",X10)))</formula>
    </cfRule>
    <cfRule type="containsText" priority="38" operator="containsText" aboveAverage="0" equalAverage="0" bottom="0" percent="0" rank="0" text="AD" dxfId="184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185">
      <formula>NOT(ISERROR(SEARCH("A",R10)))</formula>
    </cfRule>
    <cfRule type="containsText" priority="40" operator="containsText" aboveAverage="0" equalAverage="0" bottom="0" percent="0" rank="0" text="C" dxfId="186">
      <formula>NOT(ISERROR(SEARCH("C",R10)))</formula>
    </cfRule>
    <cfRule type="containsText" priority="41" operator="containsText" aboveAverage="0" equalAverage="0" bottom="0" percent="0" rank="0" text="B" dxfId="187">
      <formula>NOT(ISERROR(SEARCH("B",R10)))</formula>
    </cfRule>
    <cfRule type="containsText" priority="42" operator="containsText" aboveAverage="0" equalAverage="0" bottom="0" percent="0" rank="0" text="AD" dxfId="188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189">
      <formula>NOT(ISERROR(SEARCH("A",K10)))</formula>
    </cfRule>
    <cfRule type="containsText" priority="44" operator="containsText" aboveAverage="0" equalAverage="0" bottom="0" percent="0" rank="0" text="C" dxfId="190">
      <formula>NOT(ISERROR(SEARCH("C",K10)))</formula>
    </cfRule>
    <cfRule type="containsText" priority="45" operator="containsText" aboveAverage="0" equalAverage="0" bottom="0" percent="0" rank="0" text="B" dxfId="191">
      <formula>NOT(ISERROR(SEARCH("B",K10)))</formula>
    </cfRule>
    <cfRule type="containsText" priority="46" operator="containsText" aboveAverage="0" equalAverage="0" bottom="0" percent="0" rank="0" text="AD" dxfId="192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193">
      <formula>NOT(ISERROR(SEARCH("A",C10)))</formula>
    </cfRule>
    <cfRule type="containsText" priority="48" operator="containsText" aboveAverage="0" equalAverage="0" bottom="0" percent="0" rank="0" text="C" dxfId="194">
      <formula>NOT(ISERROR(SEARCH("C",C10)))</formula>
    </cfRule>
    <cfRule type="containsText" priority="49" operator="containsText" aboveAverage="0" equalAverage="0" bottom="0" percent="0" rank="0" text="B" dxfId="195">
      <formula>NOT(ISERROR(SEARCH("B",C10)))</formula>
    </cfRule>
    <cfRule type="containsText" priority="50" operator="containsText" aboveAverage="0" equalAverage="0" bottom="0" percent="0" rank="0" text="AD" dxfId="196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E7" activeCellId="0" sqref="AE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46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Se comunica oralmente en su lengua materna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Lee diversos tipos de textos escritos en su lengua materna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>Escribe diversos tipos de textos en lengua materna</v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Obtiene información de textos orales</v>
      </c>
      <c r="D9" s="122" t="str">
        <f aca="false">IF(IF($C$8="","",VLOOKUP($C$8,'Competencias y capacidades'!$H$2:$N$33,3,FALSE()))=0,"",IF($C$8="","",VLOOKUP($C$8,'Competencias y capacidades'!$H$2:$N$33,3,FALSE())))</f>
        <v>Infiere e interpreta información de textos orales</v>
      </c>
      <c r="E9" s="122" t="str">
        <f aca="false">IF(IF($C$8="","",VLOOKUP($C$8,'Competencias y capacidades'!$H$2:$N$33,4,FALSE()))=0,"",IF($C$8="","",VLOOKUP($C$8,'Competencias y capacidades'!$H$2:$N$33,4,FALSE())))</f>
        <v>Adecua, organiza y desarrolla las ideas de forma coherente y cohesionada</v>
      </c>
      <c r="F9" s="122" t="str">
        <f aca="false">IF(IF($C$8="","",VLOOKUP($C$8,'Competencias y capacidades'!$H$2:$N$33,5,FALSE()))=0,"",IF($C$8="","",VLOOKUP($C$8,'Competencias y capacidades'!$H$2:$N$33,5,FALSE())))</f>
        <v>Utiliza recursos no verbales y paraverbales de forma estratégica</v>
      </c>
      <c r="G9" s="122" t="str">
        <f aca="false">IF(IF($C$8="","",VLOOKUP($C$8,'Competencias y capacidades'!$H$2:$N$33,6,FALSE()))=0,"",IF($C$8="","",VLOOKUP($C$8,'Competencias y capacidades'!$H$2:$N$33,6,FALSE())))</f>
        <v>Interactúa estratégicamente con distintos interlocutores</v>
      </c>
      <c r="H9" s="122" t="str">
        <f aca="false">IF(IF($C$8="","",VLOOKUP($C$8,'Competencias y capacidades'!$H$2:$N$33,7,FALSE()))=0,"",IF($C$8="","",VLOOKUP($C$8,'Competencias y capacidades'!$H$2:$N$33,7,FALSE())))</f>
        <v>Reflexiona y evalúa la forma, el contenido y el contexto del texto oral</v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Obtiene información del texto escrito</v>
      </c>
      <c r="L9" s="122" t="str">
        <f aca="false">IF(IF($K$8="","",VLOOKUP($K$8,'Competencias y capacidades'!$H$2:$N$33,3,FALSE()))=0,"",IF($K$8="","",VLOOKUP($K$8,'Competencias y capacidades'!$H$2:$N$33,3,FALSE())))</f>
        <v>Infiere e interpreta información del texto</v>
      </c>
      <c r="M9" s="122" t="str">
        <f aca="false">IF(IF($K$8="","",VLOOKUP($K$8,'Competencias y capacidades'!$H$2:$N$33,4,FALSE()))=0,"",IF($K$8="","",VLOOKUP($K$8,'Competencias y capacidades'!$H$2:$N$33,4,FALSE())))</f>
        <v>Reflexiona y evalúa la forma, el contenido y el contexto del texto escrito</v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>Adecúa el texto a la situación comunicativa</v>
      </c>
      <c r="S9" s="122" t="str">
        <f aca="false">IF(IF($R$8="","",VLOOKUP($R$8,'Competencias y capacidades'!$H$2:$N$33,3,FALSE()))=0,"",IF($R$8="","",VLOOKUP($R$8,'Competencias y capacidades'!$H$2:$N$33,3,FALSE())))</f>
        <v>Organiza y desarrolla las ideas de forma coherente y cohesionada</v>
      </c>
      <c r="T9" s="122" t="str">
        <f aca="false">IF(IF($R$8="","",VLOOKUP($R$8,'Competencias y capacidades'!$H$2:$N$33,4,FALSE()))=0,"",IF($R$8="","",VLOOKUP($R$8,'Competencias y capacidades'!$H$2:$N$33,4,FALSE())))</f>
        <v>Utiliza convenciones del lenguaje escrito de forma pertinente</v>
      </c>
      <c r="U9" s="122" t="str">
        <f aca="false">IF(IF($R$8="","",VLOOKUP($R$8,'Competencias y capacidades'!$H$2:$N$33,5,FALSE()))=0,"",IF($R$8="","",VLOOKUP($R$8,'Competencias y capacidades'!$H$2:$N$33,5,FALSE())))</f>
        <v>Reflexiona y evalúa la forma, el contenido y el contexto del texto escrito</v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197">
      <formula>0</formula>
    </cfRule>
  </conditionalFormatting>
  <conditionalFormatting sqref="AM10:AM47">
    <cfRule type="containsText" priority="3" operator="containsText" aboveAverage="0" equalAverage="0" bottom="0" percent="0" rank="0" text="AD" dxfId="198">
      <formula>NOT(ISERROR(SEARCH("AD",AM10)))</formula>
    </cfRule>
    <cfRule type="containsText" priority="4" operator="containsText" aboveAverage="0" equalAverage="0" bottom="0" percent="0" rank="0" text="A" dxfId="199">
      <formula>NOT(ISERROR(SEARCH("A",AM10)))</formula>
    </cfRule>
    <cfRule type="containsText" priority="5" operator="containsText" aboveAverage="0" equalAverage="0" bottom="0" percent="0" rank="0" text="B" dxfId="200">
      <formula>NOT(ISERROR(SEARCH("B",AM10)))</formula>
    </cfRule>
    <cfRule type="containsText" priority="6" operator="containsText" aboveAverage="0" equalAverage="0" bottom="0" percent="0" rank="0" text="C" dxfId="201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202">
      <formula>NOT(ISERROR(SEARCH("AD",AI10)))</formula>
    </cfRule>
    <cfRule type="containsText" priority="8" operator="containsText" aboveAverage="0" equalAverage="0" bottom="0" percent="0" rank="0" text="A" dxfId="203">
      <formula>NOT(ISERROR(SEARCH("A",AI10)))</formula>
    </cfRule>
    <cfRule type="containsText" priority="9" operator="containsText" aboveAverage="0" equalAverage="0" bottom="0" percent="0" rank="0" text="B" dxfId="204">
      <formula>NOT(ISERROR(SEARCH("B",AI10)))</formula>
    </cfRule>
    <cfRule type="containsText" priority="10" operator="containsText" aboveAverage="0" equalAverage="0" bottom="0" percent="0" rank="0" text="C" dxfId="205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206">
      <formula>NOT(ISERROR(SEARCH("AD",AB10)))</formula>
    </cfRule>
    <cfRule type="containsText" priority="12" operator="containsText" aboveAverage="0" equalAverage="0" bottom="0" percent="0" rank="0" text="A" dxfId="207">
      <formula>NOT(ISERROR(SEARCH("A",AB10)))</formula>
    </cfRule>
    <cfRule type="containsText" priority="13" operator="containsText" aboveAverage="0" equalAverage="0" bottom="0" percent="0" rank="0" text="B" dxfId="208">
      <formula>NOT(ISERROR(SEARCH("B",AB10)))</formula>
    </cfRule>
    <cfRule type="containsText" priority="14" operator="containsText" aboveAverage="0" equalAverage="0" bottom="0" percent="0" rank="0" text="C" dxfId="209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210">
      <formula>NOT(ISERROR(SEARCH("AD",V10)))</formula>
    </cfRule>
    <cfRule type="containsText" priority="16" operator="containsText" aboveAverage="0" equalAverage="0" bottom="0" percent="0" rank="0" text="A" dxfId="211">
      <formula>NOT(ISERROR(SEARCH("A",V10)))</formula>
    </cfRule>
    <cfRule type="containsText" priority="17" operator="containsText" aboveAverage="0" equalAverage="0" bottom="0" percent="0" rank="0" text="B" dxfId="212">
      <formula>NOT(ISERROR(SEARCH("B",V10)))</formula>
    </cfRule>
    <cfRule type="containsText" priority="18" operator="containsText" aboveAverage="0" equalAverage="0" bottom="0" percent="0" rank="0" text="C" dxfId="213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214">
      <formula>NOT(ISERROR(SEARCH("AD",P10)))</formula>
    </cfRule>
    <cfRule type="containsText" priority="20" operator="containsText" aboveAverage="0" equalAverage="0" bottom="0" percent="0" rank="0" text="A" dxfId="215">
      <formula>NOT(ISERROR(SEARCH("A",P10)))</formula>
    </cfRule>
    <cfRule type="containsText" priority="21" operator="containsText" aboveAverage="0" equalAverage="0" bottom="0" percent="0" rank="0" text="B" dxfId="216">
      <formula>NOT(ISERROR(SEARCH("B",P10)))</formula>
    </cfRule>
    <cfRule type="containsText" priority="22" operator="containsText" aboveAverage="0" equalAverage="0" bottom="0" percent="0" rank="0" text="C" dxfId="217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218">
      <formula>NOT(ISERROR(SEARCH("AD",I10)))</formula>
    </cfRule>
    <cfRule type="containsText" priority="24" operator="containsText" aboveAverage="0" equalAverage="0" bottom="0" percent="0" rank="0" text="A" dxfId="219">
      <formula>NOT(ISERROR(SEARCH("A",I10)))</formula>
    </cfRule>
    <cfRule type="containsText" priority="25" operator="containsText" aboveAverage="0" equalAverage="0" bottom="0" percent="0" rank="0" text="B" dxfId="220">
      <formula>NOT(ISERROR(SEARCH("B",I10)))</formula>
    </cfRule>
    <cfRule type="containsText" priority="26" operator="containsText" aboveAverage="0" equalAverage="0" bottom="0" percent="0" rank="0" text="C" dxfId="221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222">
      <formula>NOT(ISERROR(SEARCH("A",AJ10)))</formula>
    </cfRule>
    <cfRule type="containsText" priority="28" operator="containsText" aboveAverage="0" equalAverage="0" bottom="0" percent="0" rank="0" text="C" dxfId="223">
      <formula>NOT(ISERROR(SEARCH("C",AJ10)))</formula>
    </cfRule>
    <cfRule type="containsText" priority="29" operator="containsText" aboveAverage="0" equalAverage="0" bottom="0" percent="0" rank="0" text="B" dxfId="224">
      <formula>NOT(ISERROR(SEARCH("B",AJ10)))</formula>
    </cfRule>
    <cfRule type="containsText" priority="30" operator="containsText" aboveAverage="0" equalAverage="0" bottom="0" percent="0" rank="0" text="AD" dxfId="225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226">
      <formula>NOT(ISERROR(SEARCH("A",AE10)))</formula>
    </cfRule>
    <cfRule type="containsText" priority="32" operator="containsText" aboveAverage="0" equalAverage="0" bottom="0" percent="0" rank="0" text="C" dxfId="227">
      <formula>NOT(ISERROR(SEARCH("C",AE10)))</formula>
    </cfRule>
    <cfRule type="containsText" priority="33" operator="containsText" aboveAverage="0" equalAverage="0" bottom="0" percent="0" rank="0" text="B" dxfId="228">
      <formula>NOT(ISERROR(SEARCH("B",AE10)))</formula>
    </cfRule>
    <cfRule type="containsText" priority="34" operator="containsText" aboveAverage="0" equalAverage="0" bottom="0" percent="0" rank="0" text="AD" dxfId="229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230">
      <formula>NOT(ISERROR(SEARCH("A",X10)))</formula>
    </cfRule>
    <cfRule type="containsText" priority="36" operator="containsText" aboveAverage="0" equalAverage="0" bottom="0" percent="0" rank="0" text="C" dxfId="231">
      <formula>NOT(ISERROR(SEARCH("C",X10)))</formula>
    </cfRule>
    <cfRule type="containsText" priority="37" operator="containsText" aboveAverage="0" equalAverage="0" bottom="0" percent="0" rank="0" text="B" dxfId="232">
      <formula>NOT(ISERROR(SEARCH("B",X10)))</formula>
    </cfRule>
    <cfRule type="containsText" priority="38" operator="containsText" aboveAverage="0" equalAverage="0" bottom="0" percent="0" rank="0" text="AD" dxfId="233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234">
      <formula>NOT(ISERROR(SEARCH("A",R10)))</formula>
    </cfRule>
    <cfRule type="containsText" priority="40" operator="containsText" aboveAverage="0" equalAverage="0" bottom="0" percent="0" rank="0" text="C" dxfId="235">
      <formula>NOT(ISERROR(SEARCH("C",R10)))</formula>
    </cfRule>
    <cfRule type="containsText" priority="41" operator="containsText" aboveAverage="0" equalAverage="0" bottom="0" percent="0" rank="0" text="B" dxfId="236">
      <formula>NOT(ISERROR(SEARCH("B",R10)))</formula>
    </cfRule>
    <cfRule type="containsText" priority="42" operator="containsText" aboveAverage="0" equalAverage="0" bottom="0" percent="0" rank="0" text="AD" dxfId="237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238">
      <formula>NOT(ISERROR(SEARCH("A",K10)))</formula>
    </cfRule>
    <cfRule type="containsText" priority="44" operator="containsText" aboveAverage="0" equalAverage="0" bottom="0" percent="0" rank="0" text="C" dxfId="239">
      <formula>NOT(ISERROR(SEARCH("C",K10)))</formula>
    </cfRule>
    <cfRule type="containsText" priority="45" operator="containsText" aboveAverage="0" equalAverage="0" bottom="0" percent="0" rank="0" text="B" dxfId="240">
      <formula>NOT(ISERROR(SEARCH("B",K10)))</formula>
    </cfRule>
    <cfRule type="containsText" priority="46" operator="containsText" aboveAverage="0" equalAverage="0" bottom="0" percent="0" rank="0" text="AD" dxfId="241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242">
      <formula>NOT(ISERROR(SEARCH("A",C10)))</formula>
    </cfRule>
    <cfRule type="containsText" priority="48" operator="containsText" aboveAverage="0" equalAverage="0" bottom="0" percent="0" rank="0" text="C" dxfId="243">
      <formula>NOT(ISERROR(SEARCH("C",C10)))</formula>
    </cfRule>
    <cfRule type="containsText" priority="49" operator="containsText" aboveAverage="0" equalAverage="0" bottom="0" percent="0" rank="0" text="B" dxfId="244">
      <formula>NOT(ISERROR(SEARCH("B",C10)))</formula>
    </cfRule>
    <cfRule type="containsText" priority="50" operator="containsText" aboveAverage="0" equalAverage="0" bottom="0" percent="0" rank="0" text="AD" dxfId="245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E7" activeCellId="0" sqref="AE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16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Construye su identidad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Convive y participa democráticamente en la búsqueda del bien común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/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Se valora a sí mismo</v>
      </c>
      <c r="D9" s="122" t="str">
        <f aca="false">IF(IF($C$8="","",VLOOKUP($C$8,'Competencias y capacidades'!$H$2:$N$33,3,FALSE()))=0,"",IF($C$8="","",VLOOKUP($C$8,'Competencias y capacidades'!$H$2:$N$33,3,FALSE())))</f>
        <v>Autorregula sus emociones</v>
      </c>
      <c r="E9" s="122" t="str">
        <f aca="false">IF(IF($C$8="","",VLOOKUP($C$8,'Competencias y capacidades'!$H$2:$N$33,4,FALSE()))=0,"",IF($C$8="","",VLOOKUP($C$8,'Competencias y capacidades'!$H$2:$N$33,4,FALSE())))</f>
        <v>Reflexiona y argumenta éticamente</v>
      </c>
      <c r="F9" s="122" t="str">
        <f aca="false">IF(IF($C$8="","",VLOOKUP($C$8,'Competencias y capacidades'!$H$2:$N$33,5,FALSE()))=0,"",IF($C$8="","",VLOOKUP($C$8,'Competencias y capacidades'!$H$2:$N$33,5,FALSE())))</f>
        <v>Vive su sexualidad de manera integral y responsable de acuerdo a su etapa de desarrollo y madurez.</v>
      </c>
      <c r="G9" s="122" t="str">
        <f aca="false">IF(IF($C$8="","",VLOOKUP($C$8,'Competencias y capacidades'!$H$2:$N$33,6,FALSE()))=0,"",IF($C$8="","",VLOOKUP($C$8,'Competencias y capacidades'!$H$2:$N$33,6,FALSE())))</f>
        <v/>
      </c>
      <c r="H9" s="122" t="str">
        <f aca="false">IF(IF($C$8="","",VLOOKUP($C$8,'Competencias y capacidades'!$H$2:$N$33,7,FALSE()))=0,"",IF($C$8="","",VLOOKUP($C$8,'Competencias y capacidades'!$H$2:$N$33,7,FALSE())))</f>
        <v/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Interactúa con todas las personas</v>
      </c>
      <c r="L9" s="122" t="str">
        <f aca="false">IF(IF($K$8="","",VLOOKUP($K$8,'Competencias y capacidades'!$H$2:$N$33,3,FALSE()))=0,"",IF($K$8="","",VLOOKUP($K$8,'Competencias y capacidades'!$H$2:$N$33,3,FALSE())))</f>
        <v>Construye y asume acuerdos y normas</v>
      </c>
      <c r="M9" s="122" t="str">
        <f aca="false">IF(IF($K$8="","",VLOOKUP($K$8,'Competencias y capacidades'!$H$2:$N$33,4,FALSE()))=0,"",IF($K$8="","",VLOOKUP($K$8,'Competencias y capacidades'!$H$2:$N$33,4,FALSE())))</f>
        <v>Maneja conflictos de manera constructiva</v>
      </c>
      <c r="N9" s="122" t="str">
        <f aca="false">IF(IF($K$8="","",VLOOKUP($K$8,'Competencias y capacidades'!$H$2:$N$33,5,FALSE()))=0,"",IF($K$8="","",VLOOKUP($K$8,'Competencias y capacidades'!$H$2:$N$33,5,FALSE())))</f>
        <v>Delibera sobre asuntos públicos</v>
      </c>
      <c r="O9" s="122" t="str">
        <f aca="false">IF(IF($K$8="","",VLOOKUP($K$8,'Competencias y capacidades'!$H$2:$N$33,6,FALSE()))=0,"",IF($K$8="","",VLOOKUP($K$8,'Competencias y capacidades'!$H$2:$N$33,6,FALSE())))</f>
        <v>Participa en acciones que promueven el bienestar común</v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/>
      </c>
      <c r="S9" s="122" t="str">
        <f aca="false">IF(IF($R$8="","",VLOOKUP($R$8,'Competencias y capacidades'!$H$2:$N$33,3,FALSE()))=0,"",IF($R$8="","",VLOOKUP($R$8,'Competencias y capacidades'!$H$2:$N$33,3,FALSE())))</f>
        <v/>
      </c>
      <c r="T9" s="122" t="str">
        <f aca="false">IF(IF($R$8="","",VLOOKUP($R$8,'Competencias y capacidades'!$H$2:$N$33,4,FALSE()))=0,"",IF($R$8="","",VLOOKUP($R$8,'Competencias y capacidades'!$H$2:$N$33,4,FALSE())))</f>
        <v/>
      </c>
      <c r="U9" s="122" t="str">
        <f aca="false">IF(IF($R$8="","",VLOOKUP($R$8,'Competencias y capacidades'!$H$2:$N$33,5,FALSE()))=0,"",IF($R$8="","",VLOOKUP($R$8,'Competencias y capacidades'!$H$2:$N$33,5,FALSE())))</f>
        <v/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246">
      <formula>0</formula>
    </cfRule>
  </conditionalFormatting>
  <conditionalFormatting sqref="AM10:AM47">
    <cfRule type="containsText" priority="3" operator="containsText" aboveAverage="0" equalAverage="0" bottom="0" percent="0" rank="0" text="AD" dxfId="247">
      <formula>NOT(ISERROR(SEARCH("AD",AM10)))</formula>
    </cfRule>
    <cfRule type="containsText" priority="4" operator="containsText" aboveAverage="0" equalAverage="0" bottom="0" percent="0" rank="0" text="A" dxfId="248">
      <formula>NOT(ISERROR(SEARCH("A",AM10)))</formula>
    </cfRule>
    <cfRule type="containsText" priority="5" operator="containsText" aboveAverage="0" equalAverage="0" bottom="0" percent="0" rank="0" text="B" dxfId="249">
      <formula>NOT(ISERROR(SEARCH("B",AM10)))</formula>
    </cfRule>
    <cfRule type="containsText" priority="6" operator="containsText" aboveAverage="0" equalAverage="0" bottom="0" percent="0" rank="0" text="C" dxfId="250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251">
      <formula>NOT(ISERROR(SEARCH("AD",AI10)))</formula>
    </cfRule>
    <cfRule type="containsText" priority="8" operator="containsText" aboveAverage="0" equalAverage="0" bottom="0" percent="0" rank="0" text="A" dxfId="252">
      <formula>NOT(ISERROR(SEARCH("A",AI10)))</formula>
    </cfRule>
    <cfRule type="containsText" priority="9" operator="containsText" aboveAverage="0" equalAverage="0" bottom="0" percent="0" rank="0" text="B" dxfId="253">
      <formula>NOT(ISERROR(SEARCH("B",AI10)))</formula>
    </cfRule>
    <cfRule type="containsText" priority="10" operator="containsText" aboveAverage="0" equalAverage="0" bottom="0" percent="0" rank="0" text="C" dxfId="254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255">
      <formula>NOT(ISERROR(SEARCH("AD",AB10)))</formula>
    </cfRule>
    <cfRule type="containsText" priority="12" operator="containsText" aboveAverage="0" equalAverage="0" bottom="0" percent="0" rank="0" text="A" dxfId="256">
      <formula>NOT(ISERROR(SEARCH("A",AB10)))</formula>
    </cfRule>
    <cfRule type="containsText" priority="13" operator="containsText" aboveAverage="0" equalAverage="0" bottom="0" percent="0" rank="0" text="B" dxfId="257">
      <formula>NOT(ISERROR(SEARCH("B",AB10)))</formula>
    </cfRule>
    <cfRule type="containsText" priority="14" operator="containsText" aboveAverage="0" equalAverage="0" bottom="0" percent="0" rank="0" text="C" dxfId="258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259">
      <formula>NOT(ISERROR(SEARCH("AD",V10)))</formula>
    </cfRule>
    <cfRule type="containsText" priority="16" operator="containsText" aboveAverage="0" equalAverage="0" bottom="0" percent="0" rank="0" text="A" dxfId="260">
      <formula>NOT(ISERROR(SEARCH("A",V10)))</formula>
    </cfRule>
    <cfRule type="containsText" priority="17" operator="containsText" aboveAverage="0" equalAverage="0" bottom="0" percent="0" rank="0" text="B" dxfId="261">
      <formula>NOT(ISERROR(SEARCH("B",V10)))</formula>
    </cfRule>
    <cfRule type="containsText" priority="18" operator="containsText" aboveAverage="0" equalAverage="0" bottom="0" percent="0" rank="0" text="C" dxfId="262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263">
      <formula>NOT(ISERROR(SEARCH("AD",P10)))</formula>
    </cfRule>
    <cfRule type="containsText" priority="20" operator="containsText" aboveAverage="0" equalAverage="0" bottom="0" percent="0" rank="0" text="A" dxfId="264">
      <formula>NOT(ISERROR(SEARCH("A",P10)))</formula>
    </cfRule>
    <cfRule type="containsText" priority="21" operator="containsText" aboveAverage="0" equalAverage="0" bottom="0" percent="0" rank="0" text="B" dxfId="265">
      <formula>NOT(ISERROR(SEARCH("B",P10)))</formula>
    </cfRule>
    <cfRule type="containsText" priority="22" operator="containsText" aboveAverage="0" equalAverage="0" bottom="0" percent="0" rank="0" text="C" dxfId="266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267">
      <formula>NOT(ISERROR(SEARCH("AD",I10)))</formula>
    </cfRule>
    <cfRule type="containsText" priority="24" operator="containsText" aboveAverage="0" equalAverage="0" bottom="0" percent="0" rank="0" text="A" dxfId="268">
      <formula>NOT(ISERROR(SEARCH("A",I10)))</formula>
    </cfRule>
    <cfRule type="containsText" priority="25" operator="containsText" aboveAverage="0" equalAverage="0" bottom="0" percent="0" rank="0" text="B" dxfId="269">
      <formula>NOT(ISERROR(SEARCH("B",I10)))</formula>
    </cfRule>
    <cfRule type="containsText" priority="26" operator="containsText" aboveAverage="0" equalAverage="0" bottom="0" percent="0" rank="0" text="C" dxfId="270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271">
      <formula>NOT(ISERROR(SEARCH("A",AJ10)))</formula>
    </cfRule>
    <cfRule type="containsText" priority="28" operator="containsText" aboveAverage="0" equalAverage="0" bottom="0" percent="0" rank="0" text="C" dxfId="272">
      <formula>NOT(ISERROR(SEARCH("C",AJ10)))</formula>
    </cfRule>
    <cfRule type="containsText" priority="29" operator="containsText" aboveAverage="0" equalAverage="0" bottom="0" percent="0" rank="0" text="B" dxfId="273">
      <formula>NOT(ISERROR(SEARCH("B",AJ10)))</formula>
    </cfRule>
    <cfRule type="containsText" priority="30" operator="containsText" aboveAverage="0" equalAverage="0" bottom="0" percent="0" rank="0" text="AD" dxfId="274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275">
      <formula>NOT(ISERROR(SEARCH("A",AE10)))</formula>
    </cfRule>
    <cfRule type="containsText" priority="32" operator="containsText" aboveAverage="0" equalAverage="0" bottom="0" percent="0" rank="0" text="C" dxfId="276">
      <formula>NOT(ISERROR(SEARCH("C",AE10)))</formula>
    </cfRule>
    <cfRule type="containsText" priority="33" operator="containsText" aboveAverage="0" equalAverage="0" bottom="0" percent="0" rank="0" text="B" dxfId="277">
      <formula>NOT(ISERROR(SEARCH("B",AE10)))</formula>
    </cfRule>
    <cfRule type="containsText" priority="34" operator="containsText" aboveAverage="0" equalAverage="0" bottom="0" percent="0" rank="0" text="AD" dxfId="278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279">
      <formula>NOT(ISERROR(SEARCH("A",X10)))</formula>
    </cfRule>
    <cfRule type="containsText" priority="36" operator="containsText" aboveAverage="0" equalAverage="0" bottom="0" percent="0" rank="0" text="C" dxfId="280">
      <formula>NOT(ISERROR(SEARCH("C",X10)))</formula>
    </cfRule>
    <cfRule type="containsText" priority="37" operator="containsText" aboveAverage="0" equalAverage="0" bottom="0" percent="0" rank="0" text="B" dxfId="281">
      <formula>NOT(ISERROR(SEARCH("B",X10)))</formula>
    </cfRule>
    <cfRule type="containsText" priority="38" operator="containsText" aboveAverage="0" equalAverage="0" bottom="0" percent="0" rank="0" text="AD" dxfId="282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283">
      <formula>NOT(ISERROR(SEARCH("A",R10)))</formula>
    </cfRule>
    <cfRule type="containsText" priority="40" operator="containsText" aboveAverage="0" equalAverage="0" bottom="0" percent="0" rank="0" text="C" dxfId="284">
      <formula>NOT(ISERROR(SEARCH("C",R10)))</formula>
    </cfRule>
    <cfRule type="containsText" priority="41" operator="containsText" aboveAverage="0" equalAverage="0" bottom="0" percent="0" rank="0" text="B" dxfId="285">
      <formula>NOT(ISERROR(SEARCH("B",R10)))</formula>
    </cfRule>
    <cfRule type="containsText" priority="42" operator="containsText" aboveAverage="0" equalAverage="0" bottom="0" percent="0" rank="0" text="AD" dxfId="286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287">
      <formula>NOT(ISERROR(SEARCH("A",K10)))</formula>
    </cfRule>
    <cfRule type="containsText" priority="44" operator="containsText" aboveAverage="0" equalAverage="0" bottom="0" percent="0" rank="0" text="C" dxfId="288">
      <formula>NOT(ISERROR(SEARCH("C",K10)))</formula>
    </cfRule>
    <cfRule type="containsText" priority="45" operator="containsText" aboveAverage="0" equalAverage="0" bottom="0" percent="0" rank="0" text="B" dxfId="289">
      <formula>NOT(ISERROR(SEARCH("B",K10)))</formula>
    </cfRule>
    <cfRule type="containsText" priority="46" operator="containsText" aboveAverage="0" equalAverage="0" bottom="0" percent="0" rank="0" text="AD" dxfId="290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291">
      <formula>NOT(ISERROR(SEARCH("A",C10)))</formula>
    </cfRule>
    <cfRule type="containsText" priority="48" operator="containsText" aboveAverage="0" equalAverage="0" bottom="0" percent="0" rank="0" text="C" dxfId="292">
      <formula>NOT(ISERROR(SEARCH("C",C10)))</formula>
    </cfRule>
    <cfRule type="containsText" priority="49" operator="containsText" aboveAverage="0" equalAverage="0" bottom="0" percent="0" rank="0" text="B" dxfId="293">
      <formula>NOT(ISERROR(SEARCH("B",C10)))</formula>
    </cfRule>
    <cfRule type="containsText" priority="50" operator="containsText" aboveAverage="0" equalAverage="0" bottom="0" percent="0" rank="0" text="AD" dxfId="294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E7" activeCellId="0" sqref="AE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60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Se desenvuelve de manera autónoma a través de su motricidad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Asume una vida saludable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>Interactúa a través de sus habilidades sociomotrices</v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Comprende su cuerpo</v>
      </c>
      <c r="D9" s="122" t="str">
        <f aca="false">IF(IF($C$8="","",VLOOKUP($C$8,'Competencias y capacidades'!$H$2:$N$33,3,FALSE()))=0,"",IF($C$8="","",VLOOKUP($C$8,'Competencias y capacidades'!$H$2:$N$33,3,FALSE())))</f>
        <v>Se expresa corporalmente</v>
      </c>
      <c r="E9" s="122" t="str">
        <f aca="false">IF(IF($C$8="","",VLOOKUP($C$8,'Competencias y capacidades'!$H$2:$N$33,4,FALSE()))=0,"",IF($C$8="","",VLOOKUP($C$8,'Competencias y capacidades'!$H$2:$N$33,4,FALSE())))</f>
        <v/>
      </c>
      <c r="F9" s="122" t="str">
        <f aca="false">IF(IF($C$8="","",VLOOKUP($C$8,'Competencias y capacidades'!$H$2:$N$33,5,FALSE()))=0,"",IF($C$8="","",VLOOKUP($C$8,'Competencias y capacidades'!$H$2:$N$33,5,FALSE())))</f>
        <v/>
      </c>
      <c r="G9" s="122" t="str">
        <f aca="false">IF(IF($C$8="","",VLOOKUP($C$8,'Competencias y capacidades'!$H$2:$N$33,6,FALSE()))=0,"",IF($C$8="","",VLOOKUP($C$8,'Competencias y capacidades'!$H$2:$N$33,6,FALSE())))</f>
        <v/>
      </c>
      <c r="H9" s="122" t="str">
        <f aca="false">IF(IF($C$8="","",VLOOKUP($C$8,'Competencias y capacidades'!$H$2:$N$33,7,FALSE()))=0,"",IF($C$8="","",VLOOKUP($C$8,'Competencias y capacidades'!$H$2:$N$33,7,FALSE())))</f>
        <v/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Comprende las relaciones entre la actividad física, alimentación, postura e higiene y la salud</v>
      </c>
      <c r="L9" s="122" t="str">
        <f aca="false">IF(IF($K$8="","",VLOOKUP($K$8,'Competencias y capacidades'!$H$2:$N$33,3,FALSE()))=0,"",IF($K$8="","",VLOOKUP($K$8,'Competencias y capacidades'!$H$2:$N$33,3,FALSE())))</f>
        <v>Incorpora prácticas que mejoran su calidad de vida</v>
      </c>
      <c r="M9" s="122" t="str">
        <f aca="false">IF(IF($K$8="","",VLOOKUP($K$8,'Competencias y capacidades'!$H$2:$N$33,4,FALSE()))=0,"",IF($K$8="","",VLOOKUP($K$8,'Competencias y capacidades'!$H$2:$N$33,4,FALSE())))</f>
        <v/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>Se relaciona utilizando sus habilidades sociomotrices</v>
      </c>
      <c r="S9" s="122" t="str">
        <f aca="false">IF(IF($R$8="","",VLOOKUP($R$8,'Competencias y capacidades'!$H$2:$N$33,3,FALSE()))=0,"",IF($R$8="","",VLOOKUP($R$8,'Competencias y capacidades'!$H$2:$N$33,3,FALSE())))</f>
        <v>Crea y aplica estrategias y tácticas de juego</v>
      </c>
      <c r="T9" s="122" t="str">
        <f aca="false">IF(IF($R$8="","",VLOOKUP($R$8,'Competencias y capacidades'!$H$2:$N$33,4,FALSE()))=0,"",IF($R$8="","",VLOOKUP($R$8,'Competencias y capacidades'!$H$2:$N$33,4,FALSE())))</f>
        <v/>
      </c>
      <c r="U9" s="122" t="str">
        <f aca="false">IF(IF($R$8="","",VLOOKUP($R$8,'Competencias y capacidades'!$H$2:$N$33,5,FALSE()))=0,"",IF($R$8="","",VLOOKUP($R$8,'Competencias y capacidades'!$H$2:$N$33,5,FALSE())))</f>
        <v/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295">
      <formula>0</formula>
    </cfRule>
  </conditionalFormatting>
  <conditionalFormatting sqref="AM10:AM47">
    <cfRule type="containsText" priority="3" operator="containsText" aboveAverage="0" equalAverage="0" bottom="0" percent="0" rank="0" text="AD" dxfId="296">
      <formula>NOT(ISERROR(SEARCH("AD",AM10)))</formula>
    </cfRule>
    <cfRule type="containsText" priority="4" operator="containsText" aboveAverage="0" equalAverage="0" bottom="0" percent="0" rank="0" text="A" dxfId="297">
      <formula>NOT(ISERROR(SEARCH("A",AM10)))</formula>
    </cfRule>
    <cfRule type="containsText" priority="5" operator="containsText" aboveAverage="0" equalAverage="0" bottom="0" percent="0" rank="0" text="B" dxfId="298">
      <formula>NOT(ISERROR(SEARCH("B",AM10)))</formula>
    </cfRule>
    <cfRule type="containsText" priority="6" operator="containsText" aboveAverage="0" equalAverage="0" bottom="0" percent="0" rank="0" text="C" dxfId="299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300">
      <formula>NOT(ISERROR(SEARCH("AD",AI10)))</formula>
    </cfRule>
    <cfRule type="containsText" priority="8" operator="containsText" aboveAverage="0" equalAverage="0" bottom="0" percent="0" rank="0" text="A" dxfId="301">
      <formula>NOT(ISERROR(SEARCH("A",AI10)))</formula>
    </cfRule>
    <cfRule type="containsText" priority="9" operator="containsText" aboveAverage="0" equalAverage="0" bottom="0" percent="0" rank="0" text="B" dxfId="302">
      <formula>NOT(ISERROR(SEARCH("B",AI10)))</formula>
    </cfRule>
    <cfRule type="containsText" priority="10" operator="containsText" aboveAverage="0" equalAverage="0" bottom="0" percent="0" rank="0" text="C" dxfId="303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304">
      <formula>NOT(ISERROR(SEARCH("AD",AB10)))</formula>
    </cfRule>
    <cfRule type="containsText" priority="12" operator="containsText" aboveAverage="0" equalAverage="0" bottom="0" percent="0" rank="0" text="A" dxfId="305">
      <formula>NOT(ISERROR(SEARCH("A",AB10)))</formula>
    </cfRule>
    <cfRule type="containsText" priority="13" operator="containsText" aboveAverage="0" equalAverage="0" bottom="0" percent="0" rank="0" text="B" dxfId="306">
      <formula>NOT(ISERROR(SEARCH("B",AB10)))</formula>
    </cfRule>
    <cfRule type="containsText" priority="14" operator="containsText" aboveAverage="0" equalAverage="0" bottom="0" percent="0" rank="0" text="C" dxfId="307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308">
      <formula>NOT(ISERROR(SEARCH("AD",V10)))</formula>
    </cfRule>
    <cfRule type="containsText" priority="16" operator="containsText" aboveAverage="0" equalAverage="0" bottom="0" percent="0" rank="0" text="A" dxfId="309">
      <formula>NOT(ISERROR(SEARCH("A",V10)))</formula>
    </cfRule>
    <cfRule type="containsText" priority="17" operator="containsText" aboveAverage="0" equalAverage="0" bottom="0" percent="0" rank="0" text="B" dxfId="310">
      <formula>NOT(ISERROR(SEARCH("B",V10)))</formula>
    </cfRule>
    <cfRule type="containsText" priority="18" operator="containsText" aboveAverage="0" equalAverage="0" bottom="0" percent="0" rank="0" text="C" dxfId="311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312">
      <formula>NOT(ISERROR(SEARCH("AD",P10)))</formula>
    </cfRule>
    <cfRule type="containsText" priority="20" operator="containsText" aboveAverage="0" equalAverage="0" bottom="0" percent="0" rank="0" text="A" dxfId="313">
      <formula>NOT(ISERROR(SEARCH("A",P10)))</formula>
    </cfRule>
    <cfRule type="containsText" priority="21" operator="containsText" aboveAverage="0" equalAverage="0" bottom="0" percent="0" rank="0" text="B" dxfId="314">
      <formula>NOT(ISERROR(SEARCH("B",P10)))</formula>
    </cfRule>
    <cfRule type="containsText" priority="22" operator="containsText" aboveAverage="0" equalAverage="0" bottom="0" percent="0" rank="0" text="C" dxfId="315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316">
      <formula>NOT(ISERROR(SEARCH("AD",I10)))</formula>
    </cfRule>
    <cfRule type="containsText" priority="24" operator="containsText" aboveAverage="0" equalAverage="0" bottom="0" percent="0" rank="0" text="A" dxfId="317">
      <formula>NOT(ISERROR(SEARCH("A",I10)))</formula>
    </cfRule>
    <cfRule type="containsText" priority="25" operator="containsText" aboveAverage="0" equalAverage="0" bottom="0" percent="0" rank="0" text="B" dxfId="318">
      <formula>NOT(ISERROR(SEARCH("B",I10)))</formula>
    </cfRule>
    <cfRule type="containsText" priority="26" operator="containsText" aboveAverage="0" equalAverage="0" bottom="0" percent="0" rank="0" text="C" dxfId="319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320">
      <formula>NOT(ISERROR(SEARCH("A",AJ10)))</formula>
    </cfRule>
    <cfRule type="containsText" priority="28" operator="containsText" aboveAverage="0" equalAverage="0" bottom="0" percent="0" rank="0" text="C" dxfId="321">
      <formula>NOT(ISERROR(SEARCH("C",AJ10)))</formula>
    </cfRule>
    <cfRule type="containsText" priority="29" operator="containsText" aboveAverage="0" equalAverage="0" bottom="0" percent="0" rank="0" text="B" dxfId="322">
      <formula>NOT(ISERROR(SEARCH("B",AJ10)))</formula>
    </cfRule>
    <cfRule type="containsText" priority="30" operator="containsText" aboveAverage="0" equalAverage="0" bottom="0" percent="0" rank="0" text="AD" dxfId="323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324">
      <formula>NOT(ISERROR(SEARCH("A",AE10)))</formula>
    </cfRule>
    <cfRule type="containsText" priority="32" operator="containsText" aboveAverage="0" equalAverage="0" bottom="0" percent="0" rank="0" text="C" dxfId="325">
      <formula>NOT(ISERROR(SEARCH("C",AE10)))</formula>
    </cfRule>
    <cfRule type="containsText" priority="33" operator="containsText" aboveAverage="0" equalAverage="0" bottom="0" percent="0" rank="0" text="B" dxfId="326">
      <formula>NOT(ISERROR(SEARCH("B",AE10)))</formula>
    </cfRule>
    <cfRule type="containsText" priority="34" operator="containsText" aboveAverage="0" equalAverage="0" bottom="0" percent="0" rank="0" text="AD" dxfId="327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328">
      <formula>NOT(ISERROR(SEARCH("A",X10)))</formula>
    </cfRule>
    <cfRule type="containsText" priority="36" operator="containsText" aboveAverage="0" equalAverage="0" bottom="0" percent="0" rank="0" text="C" dxfId="329">
      <formula>NOT(ISERROR(SEARCH("C",X10)))</formula>
    </cfRule>
    <cfRule type="containsText" priority="37" operator="containsText" aboveAverage="0" equalAverage="0" bottom="0" percent="0" rank="0" text="B" dxfId="330">
      <formula>NOT(ISERROR(SEARCH("B",X10)))</formula>
    </cfRule>
    <cfRule type="containsText" priority="38" operator="containsText" aboveAverage="0" equalAverage="0" bottom="0" percent="0" rank="0" text="AD" dxfId="331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332">
      <formula>NOT(ISERROR(SEARCH("A",R10)))</formula>
    </cfRule>
    <cfRule type="containsText" priority="40" operator="containsText" aboveAverage="0" equalAverage="0" bottom="0" percent="0" rank="0" text="C" dxfId="333">
      <formula>NOT(ISERROR(SEARCH("C",R10)))</formula>
    </cfRule>
    <cfRule type="containsText" priority="41" operator="containsText" aboveAverage="0" equalAverage="0" bottom="0" percent="0" rank="0" text="B" dxfId="334">
      <formula>NOT(ISERROR(SEARCH("B",R10)))</formula>
    </cfRule>
    <cfRule type="containsText" priority="42" operator="containsText" aboveAverage="0" equalAverage="0" bottom="0" percent="0" rank="0" text="AD" dxfId="335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336">
      <formula>NOT(ISERROR(SEARCH("A",K10)))</formula>
    </cfRule>
    <cfRule type="containsText" priority="44" operator="containsText" aboveAverage="0" equalAverage="0" bottom="0" percent="0" rank="0" text="C" dxfId="337">
      <formula>NOT(ISERROR(SEARCH("C",K10)))</formula>
    </cfRule>
    <cfRule type="containsText" priority="45" operator="containsText" aboveAverage="0" equalAverage="0" bottom="0" percent="0" rank="0" text="B" dxfId="338">
      <formula>NOT(ISERROR(SEARCH("B",K10)))</formula>
    </cfRule>
    <cfRule type="containsText" priority="46" operator="containsText" aboveAverage="0" equalAverage="0" bottom="0" percent="0" rank="0" text="AD" dxfId="339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340">
      <formula>NOT(ISERROR(SEARCH("A",C10)))</formula>
    </cfRule>
    <cfRule type="containsText" priority="48" operator="containsText" aboveAverage="0" equalAverage="0" bottom="0" percent="0" rank="0" text="C" dxfId="341">
      <formula>NOT(ISERROR(SEARCH("C",C10)))</formula>
    </cfRule>
    <cfRule type="containsText" priority="49" operator="containsText" aboveAverage="0" equalAverage="0" bottom="0" percent="0" rank="0" text="B" dxfId="342">
      <formula>NOT(ISERROR(SEARCH("B",C10)))</formula>
    </cfRule>
    <cfRule type="containsText" priority="50" operator="containsText" aboveAverage="0" equalAverage="0" bottom="0" percent="0" rank="0" text="AD" dxfId="343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E7" activeCellId="0" sqref="AE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64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Gestiona proyectos de emprendimiento económico o social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/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/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Crea propuestas de valor</v>
      </c>
      <c r="D9" s="122" t="str">
        <f aca="false">IF(IF($C$8="","",VLOOKUP($C$8,'Competencias y capacidades'!$H$2:$N$33,3,FALSE()))=0,"",IF($C$8="","",VLOOKUP($C$8,'Competencias y capacidades'!$H$2:$N$33,3,FALSE())))</f>
        <v>Trabaja cooperativamente para lograr objetivos y metas</v>
      </c>
      <c r="E9" s="122" t="str">
        <f aca="false">IF(IF($C$8="","",VLOOKUP($C$8,'Competencias y capacidades'!$H$2:$N$33,4,FALSE()))=0,"",IF($C$8="","",VLOOKUP($C$8,'Competencias y capacidades'!$H$2:$N$33,4,FALSE())))</f>
        <v>Aplica habilidades técnicas</v>
      </c>
      <c r="F9" s="122" t="str">
        <f aca="false">IF(IF($C$8="","",VLOOKUP($C$8,'Competencias y capacidades'!$H$2:$N$33,5,FALSE()))=0,"",IF($C$8="","",VLOOKUP($C$8,'Competencias y capacidades'!$H$2:$N$33,5,FALSE())))</f>
        <v>Evalúa los resultados del proyecto de emprendimiento</v>
      </c>
      <c r="G9" s="122" t="str">
        <f aca="false">IF(IF($C$8="","",VLOOKUP($C$8,'Competencias y capacidades'!$H$2:$N$33,6,FALSE()))=0,"",IF($C$8="","",VLOOKUP($C$8,'Competencias y capacidades'!$H$2:$N$33,6,FALSE())))</f>
        <v/>
      </c>
      <c r="H9" s="122" t="str">
        <f aca="false">IF(IF($C$8="","",VLOOKUP($C$8,'Competencias y capacidades'!$H$2:$N$33,7,FALSE()))=0,"",IF($C$8="","",VLOOKUP($C$8,'Competencias y capacidades'!$H$2:$N$33,7,FALSE())))</f>
        <v/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/>
      </c>
      <c r="L9" s="122" t="str">
        <f aca="false">IF(IF($K$8="","",VLOOKUP($K$8,'Competencias y capacidades'!$H$2:$N$33,3,FALSE()))=0,"",IF($K$8="","",VLOOKUP($K$8,'Competencias y capacidades'!$H$2:$N$33,3,FALSE())))</f>
        <v/>
      </c>
      <c r="M9" s="122" t="str">
        <f aca="false">IF(IF($K$8="","",VLOOKUP($K$8,'Competencias y capacidades'!$H$2:$N$33,4,FALSE()))=0,"",IF($K$8="","",VLOOKUP($K$8,'Competencias y capacidades'!$H$2:$N$33,4,FALSE())))</f>
        <v/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/>
      </c>
      <c r="S9" s="122" t="str">
        <f aca="false">IF(IF($R$8="","",VLOOKUP($R$8,'Competencias y capacidades'!$H$2:$N$33,3,FALSE()))=0,"",IF($R$8="","",VLOOKUP($R$8,'Competencias y capacidades'!$H$2:$N$33,3,FALSE())))</f>
        <v/>
      </c>
      <c r="T9" s="122" t="str">
        <f aca="false">IF(IF($R$8="","",VLOOKUP($R$8,'Competencias y capacidades'!$H$2:$N$33,4,FALSE()))=0,"",IF($R$8="","",VLOOKUP($R$8,'Competencias y capacidades'!$H$2:$N$33,4,FALSE())))</f>
        <v/>
      </c>
      <c r="U9" s="122" t="str">
        <f aca="false">IF(IF($R$8="","",VLOOKUP($R$8,'Competencias y capacidades'!$H$2:$N$33,5,FALSE()))=0,"",IF($R$8="","",VLOOKUP($R$8,'Competencias y capacidades'!$H$2:$N$33,5,FALSE())))</f>
        <v/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344">
      <formula>0</formula>
    </cfRule>
  </conditionalFormatting>
  <conditionalFormatting sqref="AM10:AM47">
    <cfRule type="containsText" priority="3" operator="containsText" aboveAverage="0" equalAverage="0" bottom="0" percent="0" rank="0" text="AD" dxfId="345">
      <formula>NOT(ISERROR(SEARCH("AD",AM10)))</formula>
    </cfRule>
    <cfRule type="containsText" priority="4" operator="containsText" aboveAverage="0" equalAverage="0" bottom="0" percent="0" rank="0" text="A" dxfId="346">
      <formula>NOT(ISERROR(SEARCH("A",AM10)))</formula>
    </cfRule>
    <cfRule type="containsText" priority="5" operator="containsText" aboveAverage="0" equalAverage="0" bottom="0" percent="0" rank="0" text="B" dxfId="347">
      <formula>NOT(ISERROR(SEARCH("B",AM10)))</formula>
    </cfRule>
    <cfRule type="containsText" priority="6" operator="containsText" aboveAverage="0" equalAverage="0" bottom="0" percent="0" rank="0" text="C" dxfId="348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349">
      <formula>NOT(ISERROR(SEARCH("AD",AI10)))</formula>
    </cfRule>
    <cfRule type="containsText" priority="8" operator="containsText" aboveAverage="0" equalAverage="0" bottom="0" percent="0" rank="0" text="A" dxfId="350">
      <formula>NOT(ISERROR(SEARCH("A",AI10)))</formula>
    </cfRule>
    <cfRule type="containsText" priority="9" operator="containsText" aboveAverage="0" equalAverage="0" bottom="0" percent="0" rank="0" text="B" dxfId="351">
      <formula>NOT(ISERROR(SEARCH("B",AI10)))</formula>
    </cfRule>
    <cfRule type="containsText" priority="10" operator="containsText" aboveAverage="0" equalAverage="0" bottom="0" percent="0" rank="0" text="C" dxfId="352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353">
      <formula>NOT(ISERROR(SEARCH("AD",AB10)))</formula>
    </cfRule>
    <cfRule type="containsText" priority="12" operator="containsText" aboveAverage="0" equalAverage="0" bottom="0" percent="0" rank="0" text="A" dxfId="354">
      <formula>NOT(ISERROR(SEARCH("A",AB10)))</formula>
    </cfRule>
    <cfRule type="containsText" priority="13" operator="containsText" aboveAverage="0" equalAverage="0" bottom="0" percent="0" rank="0" text="B" dxfId="355">
      <formula>NOT(ISERROR(SEARCH("B",AB10)))</formula>
    </cfRule>
    <cfRule type="containsText" priority="14" operator="containsText" aboveAverage="0" equalAverage="0" bottom="0" percent="0" rank="0" text="C" dxfId="356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357">
      <formula>NOT(ISERROR(SEARCH("AD",V10)))</formula>
    </cfRule>
    <cfRule type="containsText" priority="16" operator="containsText" aboveAverage="0" equalAverage="0" bottom="0" percent="0" rank="0" text="A" dxfId="358">
      <formula>NOT(ISERROR(SEARCH("A",V10)))</formula>
    </cfRule>
    <cfRule type="containsText" priority="17" operator="containsText" aboveAverage="0" equalAverage="0" bottom="0" percent="0" rank="0" text="B" dxfId="359">
      <formula>NOT(ISERROR(SEARCH("B",V10)))</formula>
    </cfRule>
    <cfRule type="containsText" priority="18" operator="containsText" aboveAverage="0" equalAverage="0" bottom="0" percent="0" rank="0" text="C" dxfId="360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361">
      <formula>NOT(ISERROR(SEARCH("AD",P10)))</formula>
    </cfRule>
    <cfRule type="containsText" priority="20" operator="containsText" aboveAverage="0" equalAverage="0" bottom="0" percent="0" rank="0" text="A" dxfId="362">
      <formula>NOT(ISERROR(SEARCH("A",P10)))</formula>
    </cfRule>
    <cfRule type="containsText" priority="21" operator="containsText" aboveAverage="0" equalAverage="0" bottom="0" percent="0" rank="0" text="B" dxfId="363">
      <formula>NOT(ISERROR(SEARCH("B",P10)))</formula>
    </cfRule>
    <cfRule type="containsText" priority="22" operator="containsText" aboveAverage="0" equalAverage="0" bottom="0" percent="0" rank="0" text="C" dxfId="364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365">
      <formula>NOT(ISERROR(SEARCH("AD",I10)))</formula>
    </cfRule>
    <cfRule type="containsText" priority="24" operator="containsText" aboveAverage="0" equalAverage="0" bottom="0" percent="0" rank="0" text="A" dxfId="366">
      <formula>NOT(ISERROR(SEARCH("A",I10)))</formula>
    </cfRule>
    <cfRule type="containsText" priority="25" operator="containsText" aboveAverage="0" equalAverage="0" bottom="0" percent="0" rank="0" text="B" dxfId="367">
      <formula>NOT(ISERROR(SEARCH("B",I10)))</formula>
    </cfRule>
    <cfRule type="containsText" priority="26" operator="containsText" aboveAverage="0" equalAverage="0" bottom="0" percent="0" rank="0" text="C" dxfId="368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369">
      <formula>NOT(ISERROR(SEARCH("A",AJ10)))</formula>
    </cfRule>
    <cfRule type="containsText" priority="28" operator="containsText" aboveAverage="0" equalAverage="0" bottom="0" percent="0" rank="0" text="C" dxfId="370">
      <formula>NOT(ISERROR(SEARCH("C",AJ10)))</formula>
    </cfRule>
    <cfRule type="containsText" priority="29" operator="containsText" aboveAverage="0" equalAverage="0" bottom="0" percent="0" rank="0" text="B" dxfId="371">
      <formula>NOT(ISERROR(SEARCH("B",AJ10)))</formula>
    </cfRule>
    <cfRule type="containsText" priority="30" operator="containsText" aboveAverage="0" equalAverage="0" bottom="0" percent="0" rank="0" text="AD" dxfId="372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373">
      <formula>NOT(ISERROR(SEARCH("A",AE10)))</formula>
    </cfRule>
    <cfRule type="containsText" priority="32" operator="containsText" aboveAverage="0" equalAverage="0" bottom="0" percent="0" rank="0" text="C" dxfId="374">
      <formula>NOT(ISERROR(SEARCH("C",AE10)))</formula>
    </cfRule>
    <cfRule type="containsText" priority="33" operator="containsText" aboveAverage="0" equalAverage="0" bottom="0" percent="0" rank="0" text="B" dxfId="375">
      <formula>NOT(ISERROR(SEARCH("B",AE10)))</formula>
    </cfRule>
    <cfRule type="containsText" priority="34" operator="containsText" aboveAverage="0" equalAverage="0" bottom="0" percent="0" rank="0" text="AD" dxfId="376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377">
      <formula>NOT(ISERROR(SEARCH("A",X10)))</formula>
    </cfRule>
    <cfRule type="containsText" priority="36" operator="containsText" aboveAverage="0" equalAverage="0" bottom="0" percent="0" rank="0" text="C" dxfId="378">
      <formula>NOT(ISERROR(SEARCH("C",X10)))</formula>
    </cfRule>
    <cfRule type="containsText" priority="37" operator="containsText" aboveAverage="0" equalAverage="0" bottom="0" percent="0" rank="0" text="B" dxfId="379">
      <formula>NOT(ISERROR(SEARCH("B",X10)))</formula>
    </cfRule>
    <cfRule type="containsText" priority="38" operator="containsText" aboveAverage="0" equalAverage="0" bottom="0" percent="0" rank="0" text="AD" dxfId="380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381">
      <formula>NOT(ISERROR(SEARCH("A",R10)))</formula>
    </cfRule>
    <cfRule type="containsText" priority="40" operator="containsText" aboveAverage="0" equalAverage="0" bottom="0" percent="0" rank="0" text="C" dxfId="382">
      <formula>NOT(ISERROR(SEARCH("C",R10)))</formula>
    </cfRule>
    <cfRule type="containsText" priority="41" operator="containsText" aboveAverage="0" equalAverage="0" bottom="0" percent="0" rank="0" text="B" dxfId="383">
      <formula>NOT(ISERROR(SEARCH("B",R10)))</formula>
    </cfRule>
    <cfRule type="containsText" priority="42" operator="containsText" aboveAverage="0" equalAverage="0" bottom="0" percent="0" rank="0" text="AD" dxfId="384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385">
      <formula>NOT(ISERROR(SEARCH("A",K10)))</formula>
    </cfRule>
    <cfRule type="containsText" priority="44" operator="containsText" aboveAverage="0" equalAverage="0" bottom="0" percent="0" rank="0" text="C" dxfId="386">
      <formula>NOT(ISERROR(SEARCH("C",K10)))</formula>
    </cfRule>
    <cfRule type="containsText" priority="45" operator="containsText" aboveAverage="0" equalAverage="0" bottom="0" percent="0" rank="0" text="B" dxfId="387">
      <formula>NOT(ISERROR(SEARCH("B",K10)))</formula>
    </cfRule>
    <cfRule type="containsText" priority="46" operator="containsText" aboveAverage="0" equalAverage="0" bottom="0" percent="0" rank="0" text="AD" dxfId="388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389">
      <formula>NOT(ISERROR(SEARCH("A",C10)))</formula>
    </cfRule>
    <cfRule type="containsText" priority="48" operator="containsText" aboveAverage="0" equalAverage="0" bottom="0" percent="0" rank="0" text="C" dxfId="390">
      <formula>NOT(ISERROR(SEARCH("C",C10)))</formula>
    </cfRule>
    <cfRule type="containsText" priority="49" operator="containsText" aboveAverage="0" equalAverage="0" bottom="0" percent="0" rank="0" text="B" dxfId="391">
      <formula>NOT(ISERROR(SEARCH("B",C10)))</formula>
    </cfRule>
    <cfRule type="containsText" priority="50" operator="containsText" aboveAverage="0" equalAverage="0" bottom="0" percent="0" rank="0" text="AD" dxfId="392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E7" activeCellId="0" sqref="AE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53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Construye su identidad como persona humana, amada por Dios, digna, libre y trascendente, comprendiendo la doctrina de su propia religión, abierto al diálogo con las que le son cercanas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Asume la experiencia del encuentro personal y comunitario con Dios en su proyecto de vida en coherencia con su creencia religiosa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/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Conoce a Dios y asume su identidad religiosa como persona digna, libre y trascendente</v>
      </c>
      <c r="D9" s="122" t="str">
        <f aca="false">IF(IF($C$8="","",VLOOKUP($C$8,'Competencias y capacidades'!$H$2:$N$33,3,FALSE()))=0,"",IF($C$8="","",VLOOKUP($C$8,'Competencias y capacidades'!$H$2:$N$33,3,FALSE())))</f>
        <v>Cultiva y valora las manifestaciones religiosas de su entorno argumentando su fe de manera comprensible y respetuosa</v>
      </c>
      <c r="E9" s="122" t="str">
        <f aca="false">IF(IF($C$8="","",VLOOKUP($C$8,'Competencias y capacidades'!$H$2:$N$33,4,FALSE()))=0,"",IF($C$8="","",VLOOKUP($C$8,'Competencias y capacidades'!$H$2:$N$33,4,FALSE())))</f>
        <v/>
      </c>
      <c r="F9" s="122" t="str">
        <f aca="false">IF(IF($C$8="","",VLOOKUP($C$8,'Competencias y capacidades'!$H$2:$N$33,5,FALSE()))=0,"",IF($C$8="","",VLOOKUP($C$8,'Competencias y capacidades'!$H$2:$N$33,5,FALSE())))</f>
        <v/>
      </c>
      <c r="G9" s="122" t="str">
        <f aca="false">IF(IF($C$8="","",VLOOKUP($C$8,'Competencias y capacidades'!$H$2:$N$33,6,FALSE()))=0,"",IF($C$8="","",VLOOKUP($C$8,'Competencias y capacidades'!$H$2:$N$33,6,FALSE())))</f>
        <v/>
      </c>
      <c r="H9" s="122" t="str">
        <f aca="false">IF(IF($C$8="","",VLOOKUP($C$8,'Competencias y capacidades'!$H$2:$N$33,7,FALSE()))=0,"",IF($C$8="","",VLOOKUP($C$8,'Competencias y capacidades'!$H$2:$N$33,7,FALSE())))</f>
        <v/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Transforma su entorno desde el encuentro personal y comunitario con Dios y desde la fe que profesa</v>
      </c>
      <c r="L9" s="122" t="str">
        <f aca="false">IF(IF($K$8="","",VLOOKUP($K$8,'Competencias y capacidades'!$H$2:$N$33,3,FALSE()))=0,"",IF($K$8="","",VLOOKUP($K$8,'Competencias y capacidades'!$H$2:$N$33,3,FALSE())))</f>
        <v>Actúa coherentemente en razón de su fe según los principios de su conciencia moral en situaciones concretas de la vida.</v>
      </c>
      <c r="M9" s="122" t="str">
        <f aca="false">IF(IF($K$8="","",VLOOKUP($K$8,'Competencias y capacidades'!$H$2:$N$33,4,FALSE()))=0,"",IF($K$8="","",VLOOKUP($K$8,'Competencias y capacidades'!$H$2:$N$33,4,FALSE())))</f>
        <v/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/>
      </c>
      <c r="S9" s="122" t="str">
        <f aca="false">IF(IF($R$8="","",VLOOKUP($R$8,'Competencias y capacidades'!$H$2:$N$33,3,FALSE()))=0,"",IF($R$8="","",VLOOKUP($R$8,'Competencias y capacidades'!$H$2:$N$33,3,FALSE())))</f>
        <v/>
      </c>
      <c r="T9" s="122" t="str">
        <f aca="false">IF(IF($R$8="","",VLOOKUP($R$8,'Competencias y capacidades'!$H$2:$N$33,4,FALSE()))=0,"",IF($R$8="","",VLOOKUP($R$8,'Competencias y capacidades'!$H$2:$N$33,4,FALSE())))</f>
        <v/>
      </c>
      <c r="U9" s="122" t="str">
        <f aca="false">IF(IF($R$8="","",VLOOKUP($R$8,'Competencias y capacidades'!$H$2:$N$33,5,FALSE()))=0,"",IF($R$8="","",VLOOKUP($R$8,'Competencias y capacidades'!$H$2:$N$33,5,FALSE())))</f>
        <v/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393">
      <formula>0</formula>
    </cfRule>
  </conditionalFormatting>
  <conditionalFormatting sqref="AM10:AM47">
    <cfRule type="containsText" priority="3" operator="containsText" aboveAverage="0" equalAverage="0" bottom="0" percent="0" rank="0" text="AD" dxfId="394">
      <formula>NOT(ISERROR(SEARCH("AD",AM10)))</formula>
    </cfRule>
    <cfRule type="containsText" priority="4" operator="containsText" aboveAverage="0" equalAverage="0" bottom="0" percent="0" rank="0" text="A" dxfId="395">
      <formula>NOT(ISERROR(SEARCH("A",AM10)))</formula>
    </cfRule>
    <cfRule type="containsText" priority="5" operator="containsText" aboveAverage="0" equalAverage="0" bottom="0" percent="0" rank="0" text="B" dxfId="396">
      <formula>NOT(ISERROR(SEARCH("B",AM10)))</formula>
    </cfRule>
    <cfRule type="containsText" priority="6" operator="containsText" aboveAverage="0" equalAverage="0" bottom="0" percent="0" rank="0" text="C" dxfId="397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398">
      <formula>NOT(ISERROR(SEARCH("AD",AI10)))</formula>
    </cfRule>
    <cfRule type="containsText" priority="8" operator="containsText" aboveAverage="0" equalAverage="0" bottom="0" percent="0" rank="0" text="A" dxfId="399">
      <formula>NOT(ISERROR(SEARCH("A",AI10)))</formula>
    </cfRule>
    <cfRule type="containsText" priority="9" operator="containsText" aboveAverage="0" equalAverage="0" bottom="0" percent="0" rank="0" text="B" dxfId="400">
      <formula>NOT(ISERROR(SEARCH("B",AI10)))</formula>
    </cfRule>
    <cfRule type="containsText" priority="10" operator="containsText" aboveAverage="0" equalAverage="0" bottom="0" percent="0" rank="0" text="C" dxfId="401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402">
      <formula>NOT(ISERROR(SEARCH("AD",AB10)))</formula>
    </cfRule>
    <cfRule type="containsText" priority="12" operator="containsText" aboveAverage="0" equalAverage="0" bottom="0" percent="0" rank="0" text="A" dxfId="403">
      <formula>NOT(ISERROR(SEARCH("A",AB10)))</formula>
    </cfRule>
    <cfRule type="containsText" priority="13" operator="containsText" aboveAverage="0" equalAverage="0" bottom="0" percent="0" rank="0" text="B" dxfId="404">
      <formula>NOT(ISERROR(SEARCH("B",AB10)))</formula>
    </cfRule>
    <cfRule type="containsText" priority="14" operator="containsText" aboveAverage="0" equalAverage="0" bottom="0" percent="0" rank="0" text="C" dxfId="405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406">
      <formula>NOT(ISERROR(SEARCH("AD",V10)))</formula>
    </cfRule>
    <cfRule type="containsText" priority="16" operator="containsText" aboveAverage="0" equalAverage="0" bottom="0" percent="0" rank="0" text="A" dxfId="407">
      <formula>NOT(ISERROR(SEARCH("A",V10)))</formula>
    </cfRule>
    <cfRule type="containsText" priority="17" operator="containsText" aboveAverage="0" equalAverage="0" bottom="0" percent="0" rank="0" text="B" dxfId="408">
      <formula>NOT(ISERROR(SEARCH("B",V10)))</formula>
    </cfRule>
    <cfRule type="containsText" priority="18" operator="containsText" aboveAverage="0" equalAverage="0" bottom="0" percent="0" rank="0" text="C" dxfId="409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410">
      <formula>NOT(ISERROR(SEARCH("AD",P10)))</formula>
    </cfRule>
    <cfRule type="containsText" priority="20" operator="containsText" aboveAverage="0" equalAverage="0" bottom="0" percent="0" rank="0" text="A" dxfId="411">
      <formula>NOT(ISERROR(SEARCH("A",P10)))</formula>
    </cfRule>
    <cfRule type="containsText" priority="21" operator="containsText" aboveAverage="0" equalAverage="0" bottom="0" percent="0" rank="0" text="B" dxfId="412">
      <formula>NOT(ISERROR(SEARCH("B",P10)))</formula>
    </cfRule>
    <cfRule type="containsText" priority="22" operator="containsText" aboveAverage="0" equalAverage="0" bottom="0" percent="0" rank="0" text="C" dxfId="413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414">
      <formula>NOT(ISERROR(SEARCH("AD",I10)))</formula>
    </cfRule>
    <cfRule type="containsText" priority="24" operator="containsText" aboveAverage="0" equalAverage="0" bottom="0" percent="0" rank="0" text="A" dxfId="415">
      <formula>NOT(ISERROR(SEARCH("A",I10)))</formula>
    </cfRule>
    <cfRule type="containsText" priority="25" operator="containsText" aboveAverage="0" equalAverage="0" bottom="0" percent="0" rank="0" text="B" dxfId="416">
      <formula>NOT(ISERROR(SEARCH("B",I10)))</formula>
    </cfRule>
    <cfRule type="containsText" priority="26" operator="containsText" aboveAverage="0" equalAverage="0" bottom="0" percent="0" rank="0" text="C" dxfId="417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418">
      <formula>NOT(ISERROR(SEARCH("A",AJ10)))</formula>
    </cfRule>
    <cfRule type="containsText" priority="28" operator="containsText" aboveAverage="0" equalAverage="0" bottom="0" percent="0" rank="0" text="C" dxfId="419">
      <formula>NOT(ISERROR(SEARCH("C",AJ10)))</formula>
    </cfRule>
    <cfRule type="containsText" priority="29" operator="containsText" aboveAverage="0" equalAverage="0" bottom="0" percent="0" rank="0" text="B" dxfId="420">
      <formula>NOT(ISERROR(SEARCH("B",AJ10)))</formula>
    </cfRule>
    <cfRule type="containsText" priority="30" operator="containsText" aboveAverage="0" equalAverage="0" bottom="0" percent="0" rank="0" text="AD" dxfId="421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422">
      <formula>NOT(ISERROR(SEARCH("A",AE10)))</formula>
    </cfRule>
    <cfRule type="containsText" priority="32" operator="containsText" aboveAverage="0" equalAverage="0" bottom="0" percent="0" rank="0" text="C" dxfId="423">
      <formula>NOT(ISERROR(SEARCH("C",AE10)))</formula>
    </cfRule>
    <cfRule type="containsText" priority="33" operator="containsText" aboveAverage="0" equalAverage="0" bottom="0" percent="0" rank="0" text="B" dxfId="424">
      <formula>NOT(ISERROR(SEARCH("B",AE10)))</formula>
    </cfRule>
    <cfRule type="containsText" priority="34" operator="containsText" aboveAverage="0" equalAverage="0" bottom="0" percent="0" rank="0" text="AD" dxfId="425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426">
      <formula>NOT(ISERROR(SEARCH("A",X10)))</formula>
    </cfRule>
    <cfRule type="containsText" priority="36" operator="containsText" aboveAverage="0" equalAverage="0" bottom="0" percent="0" rank="0" text="C" dxfId="427">
      <formula>NOT(ISERROR(SEARCH("C",X10)))</formula>
    </cfRule>
    <cfRule type="containsText" priority="37" operator="containsText" aboveAverage="0" equalAverage="0" bottom="0" percent="0" rank="0" text="B" dxfId="428">
      <formula>NOT(ISERROR(SEARCH("B",X10)))</formula>
    </cfRule>
    <cfRule type="containsText" priority="38" operator="containsText" aboveAverage="0" equalAverage="0" bottom="0" percent="0" rank="0" text="AD" dxfId="429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430">
      <formula>NOT(ISERROR(SEARCH("A",R10)))</formula>
    </cfRule>
    <cfRule type="containsText" priority="40" operator="containsText" aboveAverage="0" equalAverage="0" bottom="0" percent="0" rank="0" text="C" dxfId="431">
      <formula>NOT(ISERROR(SEARCH("C",R10)))</formula>
    </cfRule>
    <cfRule type="containsText" priority="41" operator="containsText" aboveAverage="0" equalAverage="0" bottom="0" percent="0" rank="0" text="B" dxfId="432">
      <formula>NOT(ISERROR(SEARCH("B",R10)))</formula>
    </cfRule>
    <cfRule type="containsText" priority="42" operator="containsText" aboveAverage="0" equalAverage="0" bottom="0" percent="0" rank="0" text="AD" dxfId="433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434">
      <formula>NOT(ISERROR(SEARCH("A",K10)))</formula>
    </cfRule>
    <cfRule type="containsText" priority="44" operator="containsText" aboveAverage="0" equalAverage="0" bottom="0" percent="0" rank="0" text="C" dxfId="435">
      <formula>NOT(ISERROR(SEARCH("C",K10)))</formula>
    </cfRule>
    <cfRule type="containsText" priority="45" operator="containsText" aboveAverage="0" equalAverage="0" bottom="0" percent="0" rank="0" text="B" dxfId="436">
      <formula>NOT(ISERROR(SEARCH("B",K10)))</formula>
    </cfRule>
    <cfRule type="containsText" priority="46" operator="containsText" aboveAverage="0" equalAverage="0" bottom="0" percent="0" rank="0" text="AD" dxfId="437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438">
      <formula>NOT(ISERROR(SEARCH("A",C10)))</formula>
    </cfRule>
    <cfRule type="containsText" priority="48" operator="containsText" aboveAverage="0" equalAverage="0" bottom="0" percent="0" rank="0" text="C" dxfId="439">
      <formula>NOT(ISERROR(SEARCH("C",C10)))</formula>
    </cfRule>
    <cfRule type="containsText" priority="49" operator="containsText" aboveAverage="0" equalAverage="0" bottom="0" percent="0" rank="0" text="B" dxfId="440">
      <formula>NOT(ISERROR(SEARCH("B",C10)))</formula>
    </cfRule>
    <cfRule type="containsText" priority="50" operator="containsText" aboveAverage="0" equalAverage="0" bottom="0" percent="0" rank="0" text="AD" dxfId="441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E7" activeCellId="0" sqref="AE7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74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Se comunica oralmente en inglés como lengua extranjera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Lee diversos tipos de textos escritos en inglés como lengua extranjera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>Escribe diversos tipos de textos en inglés como lengua extranjera</v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/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Obtiene información de textos orales</v>
      </c>
      <c r="D9" s="122" t="str">
        <f aca="false">IF(IF($C$8="","",VLOOKUP($C$8,'Competencias y capacidades'!$H$2:$N$33,3,FALSE()))=0,"",IF($C$8="","",VLOOKUP($C$8,'Competencias y capacidades'!$H$2:$N$33,3,FALSE())))</f>
        <v> Infiere e interpreta información de textos orales</v>
      </c>
      <c r="E9" s="122" t="str">
        <f aca="false">IF(IF($C$8="","",VLOOKUP($C$8,'Competencias y capacidades'!$H$2:$N$33,4,FALSE()))=0,"",IF($C$8="","",VLOOKUP($C$8,'Competencias y capacidades'!$H$2:$N$33,4,FALSE())))</f>
        <v>Adecua, organiza y desarrolla las ideas de forma coherente y cohesionada</v>
      </c>
      <c r="F9" s="122" t="str">
        <f aca="false">IF(IF($C$8="","",VLOOKUP($C$8,'Competencias y capacidades'!$H$2:$N$33,5,FALSE()))=0,"",IF($C$8="","",VLOOKUP($C$8,'Competencias y capacidades'!$H$2:$N$33,5,FALSE())))</f>
        <v>Utiliza recursos no verbales y paraverbales de forma estratégica</v>
      </c>
      <c r="G9" s="122" t="str">
        <f aca="false">IF(IF($C$8="","",VLOOKUP($C$8,'Competencias y capacidades'!$H$2:$N$33,6,FALSE()))=0,"",IF($C$8="","",VLOOKUP($C$8,'Competencias y capacidades'!$H$2:$N$33,6,FALSE())))</f>
        <v>Interactúa estratégicamente con distintos interlocutores</v>
      </c>
      <c r="H9" s="122" t="str">
        <f aca="false">IF(IF($C$8="","",VLOOKUP($C$8,'Competencias y capacidades'!$H$2:$N$33,7,FALSE()))=0,"",IF($C$8="","",VLOOKUP($C$8,'Competencias y capacidades'!$H$2:$N$33,7,FALSE())))</f>
        <v>Reflexiona y evalúa la forma, el contenido y el contexto del texto oral</v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Obtiene información del texto escrito</v>
      </c>
      <c r="L9" s="122" t="str">
        <f aca="false">IF(IF($K$8="","",VLOOKUP($K$8,'Competencias y capacidades'!$H$2:$N$33,3,FALSE()))=0,"",IF($K$8="","",VLOOKUP($K$8,'Competencias y capacidades'!$H$2:$N$33,3,FALSE())))</f>
        <v>Infiere e interpreta información del texto</v>
      </c>
      <c r="M9" s="122" t="str">
        <f aca="false">IF(IF($K$8="","",VLOOKUP($K$8,'Competencias y capacidades'!$H$2:$N$33,4,FALSE()))=0,"",IF($K$8="","",VLOOKUP($K$8,'Competencias y capacidades'!$H$2:$N$33,4,FALSE())))</f>
        <v>Reflexiona y evalúa la forma, el contenido y el contexto del texto escrito</v>
      </c>
      <c r="N9" s="122" t="str">
        <f aca="false">IF(IF($K$8="","",VLOOKUP($K$8,'Competencias y capacidades'!$H$2:$N$33,5,FALSE()))=0,"",IF($K$8="","",VLOOKUP($K$8,'Competencias y capacidades'!$H$2:$N$33,5,FALSE())))</f>
        <v/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>Adecúa el texto a la situación comunicativa</v>
      </c>
      <c r="S9" s="122" t="str">
        <f aca="false">IF(IF($R$8="","",VLOOKUP($R$8,'Competencias y capacidades'!$H$2:$N$33,3,FALSE()))=0,"",IF($R$8="","",VLOOKUP($R$8,'Competencias y capacidades'!$H$2:$N$33,3,FALSE())))</f>
        <v>Organiza y desarrolla las ideas de forma coherente y cohesionada</v>
      </c>
      <c r="T9" s="122" t="str">
        <f aca="false">IF(IF($R$8="","",VLOOKUP($R$8,'Competencias y capacidades'!$H$2:$N$33,4,FALSE()))=0,"",IF($R$8="","",VLOOKUP($R$8,'Competencias y capacidades'!$H$2:$N$33,4,FALSE())))</f>
        <v>Utiliza convenciones del lenguaje escrito de forma pertinente</v>
      </c>
      <c r="U9" s="122" t="str">
        <f aca="false">IF(IF($R$8="","",VLOOKUP($R$8,'Competencias y capacidades'!$H$2:$N$33,5,FALSE()))=0,"",IF($R$8="","",VLOOKUP($R$8,'Competencias y capacidades'!$H$2:$N$33,5,FALSE())))</f>
        <v>Reflexiona y evalúa la forma, el contenido y el contexto del texto escrito</v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/>
      </c>
      <c r="Y9" s="122" t="str">
        <f aca="false">IF(IF($X$8="","",VLOOKUP($X$8,'Competencias y capacidades'!$H$2:$N$33,3,FALSE()))=0,"",IF($X$8="","",VLOOKUP($X$8,'Competencias y capacidades'!$H$2:$N$33,3,FALSE())))</f>
        <v/>
      </c>
      <c r="Z9" s="122" t="str">
        <f aca="false">IF(IF($X$8="","",VLOOKUP($X$8,'Competencias y capacidades'!$H$2:$N$33,4,FALSE()))=0,"",IF($X$8="","",VLOOKUP($X$8,'Competencias y capacidades'!$H$2:$N$33,4,FALSE())))</f>
        <v/>
      </c>
      <c r="AA9" s="122" t="str">
        <f aca="false">IF(IF($X$8="","",VLOOKUP($X$8,'Competencias y capacidades'!$H$2:$N$33,5,FALSE()))=0,"",IF($X$8="","",VLOOKUP($X$8,'Competencias y capacidades'!$H$2:$N$33,5,FALSE())))</f>
        <v/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442">
      <formula>0</formula>
    </cfRule>
  </conditionalFormatting>
  <conditionalFormatting sqref="AM10:AM47">
    <cfRule type="containsText" priority="3" operator="containsText" aboveAverage="0" equalAverage="0" bottom="0" percent="0" rank="0" text="AD" dxfId="443">
      <formula>NOT(ISERROR(SEARCH("AD",AM10)))</formula>
    </cfRule>
    <cfRule type="containsText" priority="4" operator="containsText" aboveAverage="0" equalAverage="0" bottom="0" percent="0" rank="0" text="A" dxfId="444">
      <formula>NOT(ISERROR(SEARCH("A",AM10)))</formula>
    </cfRule>
    <cfRule type="containsText" priority="5" operator="containsText" aboveAverage="0" equalAverage="0" bottom="0" percent="0" rank="0" text="B" dxfId="445">
      <formula>NOT(ISERROR(SEARCH("B",AM10)))</formula>
    </cfRule>
    <cfRule type="containsText" priority="6" operator="containsText" aboveAverage="0" equalAverage="0" bottom="0" percent="0" rank="0" text="C" dxfId="446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447">
      <formula>NOT(ISERROR(SEARCH("AD",AI10)))</formula>
    </cfRule>
    <cfRule type="containsText" priority="8" operator="containsText" aboveAverage="0" equalAverage="0" bottom="0" percent="0" rank="0" text="A" dxfId="448">
      <formula>NOT(ISERROR(SEARCH("A",AI10)))</formula>
    </cfRule>
    <cfRule type="containsText" priority="9" operator="containsText" aboveAverage="0" equalAverage="0" bottom="0" percent="0" rank="0" text="B" dxfId="449">
      <formula>NOT(ISERROR(SEARCH("B",AI10)))</formula>
    </cfRule>
    <cfRule type="containsText" priority="10" operator="containsText" aboveAverage="0" equalAverage="0" bottom="0" percent="0" rank="0" text="C" dxfId="450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451">
      <formula>NOT(ISERROR(SEARCH("AD",AB10)))</formula>
    </cfRule>
    <cfRule type="containsText" priority="12" operator="containsText" aboveAverage="0" equalAverage="0" bottom="0" percent="0" rank="0" text="A" dxfId="452">
      <formula>NOT(ISERROR(SEARCH("A",AB10)))</formula>
    </cfRule>
    <cfRule type="containsText" priority="13" operator="containsText" aboveAverage="0" equalAverage="0" bottom="0" percent="0" rank="0" text="B" dxfId="453">
      <formula>NOT(ISERROR(SEARCH("B",AB10)))</formula>
    </cfRule>
    <cfRule type="containsText" priority="14" operator="containsText" aboveAverage="0" equalAverage="0" bottom="0" percent="0" rank="0" text="C" dxfId="454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455">
      <formula>NOT(ISERROR(SEARCH("AD",V10)))</formula>
    </cfRule>
    <cfRule type="containsText" priority="16" operator="containsText" aboveAverage="0" equalAverage="0" bottom="0" percent="0" rank="0" text="A" dxfId="456">
      <formula>NOT(ISERROR(SEARCH("A",V10)))</formula>
    </cfRule>
    <cfRule type="containsText" priority="17" operator="containsText" aboveAverage="0" equalAverage="0" bottom="0" percent="0" rank="0" text="B" dxfId="457">
      <formula>NOT(ISERROR(SEARCH("B",V10)))</formula>
    </cfRule>
    <cfRule type="containsText" priority="18" operator="containsText" aboveAverage="0" equalAverage="0" bottom="0" percent="0" rank="0" text="C" dxfId="458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459">
      <formula>NOT(ISERROR(SEARCH("AD",P10)))</formula>
    </cfRule>
    <cfRule type="containsText" priority="20" operator="containsText" aboveAverage="0" equalAverage="0" bottom="0" percent="0" rank="0" text="A" dxfId="460">
      <formula>NOT(ISERROR(SEARCH("A",P10)))</formula>
    </cfRule>
    <cfRule type="containsText" priority="21" operator="containsText" aboveAverage="0" equalAverage="0" bottom="0" percent="0" rank="0" text="B" dxfId="461">
      <formula>NOT(ISERROR(SEARCH("B",P10)))</formula>
    </cfRule>
    <cfRule type="containsText" priority="22" operator="containsText" aboveAverage="0" equalAverage="0" bottom="0" percent="0" rank="0" text="C" dxfId="462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463">
      <formula>NOT(ISERROR(SEARCH("AD",I10)))</formula>
    </cfRule>
    <cfRule type="containsText" priority="24" operator="containsText" aboveAverage="0" equalAverage="0" bottom="0" percent="0" rank="0" text="A" dxfId="464">
      <formula>NOT(ISERROR(SEARCH("A",I10)))</formula>
    </cfRule>
    <cfRule type="containsText" priority="25" operator="containsText" aboveAverage="0" equalAverage="0" bottom="0" percent="0" rank="0" text="B" dxfId="465">
      <formula>NOT(ISERROR(SEARCH("B",I10)))</formula>
    </cfRule>
    <cfRule type="containsText" priority="26" operator="containsText" aboveAverage="0" equalAverage="0" bottom="0" percent="0" rank="0" text="C" dxfId="466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467">
      <formula>NOT(ISERROR(SEARCH("A",AJ10)))</formula>
    </cfRule>
    <cfRule type="containsText" priority="28" operator="containsText" aboveAverage="0" equalAverage="0" bottom="0" percent="0" rank="0" text="C" dxfId="468">
      <formula>NOT(ISERROR(SEARCH("C",AJ10)))</formula>
    </cfRule>
    <cfRule type="containsText" priority="29" operator="containsText" aboveAverage="0" equalAverage="0" bottom="0" percent="0" rank="0" text="B" dxfId="469">
      <formula>NOT(ISERROR(SEARCH("B",AJ10)))</formula>
    </cfRule>
    <cfRule type="containsText" priority="30" operator="containsText" aboveAverage="0" equalAverage="0" bottom="0" percent="0" rank="0" text="AD" dxfId="470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471">
      <formula>NOT(ISERROR(SEARCH("A",AE10)))</formula>
    </cfRule>
    <cfRule type="containsText" priority="32" operator="containsText" aboveAverage="0" equalAverage="0" bottom="0" percent="0" rank="0" text="C" dxfId="472">
      <formula>NOT(ISERROR(SEARCH("C",AE10)))</formula>
    </cfRule>
    <cfRule type="containsText" priority="33" operator="containsText" aboveAverage="0" equalAverage="0" bottom="0" percent="0" rank="0" text="B" dxfId="473">
      <formula>NOT(ISERROR(SEARCH("B",AE10)))</formula>
    </cfRule>
    <cfRule type="containsText" priority="34" operator="containsText" aboveAverage="0" equalAverage="0" bottom="0" percent="0" rank="0" text="AD" dxfId="474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475">
      <formula>NOT(ISERROR(SEARCH("A",X10)))</formula>
    </cfRule>
    <cfRule type="containsText" priority="36" operator="containsText" aboveAverage="0" equalAverage="0" bottom="0" percent="0" rank="0" text="C" dxfId="476">
      <formula>NOT(ISERROR(SEARCH("C",X10)))</formula>
    </cfRule>
    <cfRule type="containsText" priority="37" operator="containsText" aboveAverage="0" equalAverage="0" bottom="0" percent="0" rank="0" text="B" dxfId="477">
      <formula>NOT(ISERROR(SEARCH("B",X10)))</formula>
    </cfRule>
    <cfRule type="containsText" priority="38" operator="containsText" aboveAverage="0" equalAverage="0" bottom="0" percent="0" rank="0" text="AD" dxfId="478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479">
      <formula>NOT(ISERROR(SEARCH("A",R10)))</formula>
    </cfRule>
    <cfRule type="containsText" priority="40" operator="containsText" aboveAverage="0" equalAverage="0" bottom="0" percent="0" rank="0" text="C" dxfId="480">
      <formula>NOT(ISERROR(SEARCH("C",R10)))</formula>
    </cfRule>
    <cfRule type="containsText" priority="41" operator="containsText" aboveAverage="0" equalAverage="0" bottom="0" percent="0" rank="0" text="B" dxfId="481">
      <formula>NOT(ISERROR(SEARCH("B",R10)))</formula>
    </cfRule>
    <cfRule type="containsText" priority="42" operator="containsText" aboveAverage="0" equalAverage="0" bottom="0" percent="0" rank="0" text="AD" dxfId="482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483">
      <formula>NOT(ISERROR(SEARCH("A",K10)))</formula>
    </cfRule>
    <cfRule type="containsText" priority="44" operator="containsText" aboveAverage="0" equalAverage="0" bottom="0" percent="0" rank="0" text="C" dxfId="484">
      <formula>NOT(ISERROR(SEARCH("C",K10)))</formula>
    </cfRule>
    <cfRule type="containsText" priority="45" operator="containsText" aboveAverage="0" equalAverage="0" bottom="0" percent="0" rank="0" text="B" dxfId="485">
      <formula>NOT(ISERROR(SEARCH("B",K10)))</formula>
    </cfRule>
    <cfRule type="containsText" priority="46" operator="containsText" aboveAverage="0" equalAverage="0" bottom="0" percent="0" rank="0" text="AD" dxfId="486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487">
      <formula>NOT(ISERROR(SEARCH("A",C10)))</formula>
    </cfRule>
    <cfRule type="containsText" priority="48" operator="containsText" aboveAverage="0" equalAverage="0" bottom="0" percent="0" rank="0" text="C" dxfId="488">
      <formula>NOT(ISERROR(SEARCH("C",C10)))</formula>
    </cfRule>
    <cfRule type="containsText" priority="49" operator="containsText" aboveAverage="0" equalAverage="0" bottom="0" percent="0" rank="0" text="B" dxfId="489">
      <formula>NOT(ISERROR(SEARCH("B",C10)))</formula>
    </cfRule>
    <cfRule type="containsText" priority="50" operator="containsText" aboveAverage="0" equalAverage="0" bottom="0" percent="0" rank="0" text="AD" dxfId="490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D67"/>
  <sheetViews>
    <sheetView showFormulas="false" showGridLines="false" showRowColHeaders="true" showZeros="true" rightToLeft="false" tabSelected="true" showOutlineSymbols="true" defaultGridColor="true" view="normal" topLeftCell="H1" colorId="64" zoomScale="90" zoomScaleNormal="90" zoomScalePageLayoutView="100" workbookViewId="0">
      <selection pane="topLeft" activeCell="C6" activeCellId="0" sqref="C6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53.57"/>
    <col collapsed="false" customWidth="true" hidden="false" outlineLevel="0" max="9" min="3" style="88" width="5"/>
    <col collapsed="false" customWidth="true" hidden="false" outlineLevel="0" max="10" min="10" style="88" width="20.71"/>
    <col collapsed="false" customWidth="true" hidden="false" outlineLevel="0" max="16" min="11" style="88" width="5"/>
    <col collapsed="false" customWidth="true" hidden="false" outlineLevel="0" max="17" min="17" style="88" width="20.71"/>
    <col collapsed="false" customWidth="true" hidden="false" outlineLevel="0" max="22" min="18" style="88" width="5"/>
    <col collapsed="false" customWidth="true" hidden="false" outlineLevel="0" max="23" min="23" style="88" width="20.71"/>
    <col collapsed="false" customWidth="true" hidden="false" outlineLevel="0" max="28" min="24" style="88" width="5"/>
    <col collapsed="false" customWidth="true" hidden="false" outlineLevel="0" max="29" min="29" style="88" width="20.71"/>
    <col collapsed="false" customWidth="true" hidden="true" outlineLevel="0" max="30" min="30" style="88" width="5"/>
    <col collapsed="false" customWidth="true" hidden="false" outlineLevel="0" max="39" min="31" style="88" width="5"/>
    <col collapsed="false" customWidth="true" hidden="false" outlineLevel="0" max="44" min="40" style="88" width="10.29"/>
    <col collapsed="false" customWidth="true" hidden="false" outlineLevel="0" max="45" min="45" style="88" width="7.71"/>
    <col collapsed="false" customWidth="true" hidden="false" outlineLevel="0" max="46" min="46" style="88" width="10.29"/>
    <col collapsed="false" customWidth="true" hidden="false" outlineLevel="0" max="47" min="47" style="88" width="8"/>
    <col collapsed="false" customWidth="true" hidden="true" outlineLevel="0" max="48" min="48" style="88" width="6.71"/>
    <col collapsed="false" customWidth="false" hidden="false" outlineLevel="0" max="49" min="49" style="88" width="11.43"/>
    <col collapsed="false" customWidth="true" hidden="true" outlineLevel="0" max="50" min="50" style="88" width="5.86"/>
    <col collapsed="false" customWidth="true" hidden="true" outlineLevel="0" max="82" min="51" style="88" width="4.42"/>
    <col collapsed="false" customWidth="false" hidden="false" outlineLevel="0" max="16384" min="83" style="88" width="11.43"/>
  </cols>
  <sheetData>
    <row r="1" customFormat="false" ht="14.25" hidden="false" customHeight="true" outlineLevel="0" collapsed="false">
      <c r="B1" s="89"/>
      <c r="C1" s="90" t="str">
        <f aca="false">ARTE!C1</f>
        <v>REGISTRO DE EVALUACIÓN NIVEL SECUNDARIA III BIMESTRE 2026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1"/>
      <c r="AL1" s="92"/>
      <c r="AM1" s="92"/>
      <c r="AN1" s="92"/>
      <c r="AO1" s="92"/>
      <c r="AP1" s="92"/>
      <c r="AQ1" s="92"/>
      <c r="AR1" s="92"/>
      <c r="AS1" s="92"/>
    </row>
    <row r="2" customFormat="false" ht="12.75" hidden="false" customHeight="true" outlineLevel="0" collapsed="false">
      <c r="A2" s="93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customFormat="false" ht="15" hidden="false" customHeight="false" outlineLevel="0" collapsed="false">
      <c r="A3" s="93"/>
      <c r="G3" s="94" t="s">
        <v>158</v>
      </c>
      <c r="H3" s="94"/>
      <c r="I3" s="94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 t="s">
        <v>159</v>
      </c>
      <c r="W3" s="94"/>
      <c r="X3" s="94"/>
      <c r="Y3" s="97" t="str">
        <f aca="false">'Datos '!D3</f>
        <v>3ro</v>
      </c>
      <c r="Z3" s="97"/>
      <c r="AA3" s="98"/>
      <c r="AC3" s="99" t="s">
        <v>160</v>
      </c>
      <c r="AE3" s="100"/>
      <c r="AF3" s="100"/>
      <c r="AG3" s="100"/>
      <c r="AH3" s="100"/>
      <c r="AI3" s="100"/>
      <c r="AJ3" s="100"/>
      <c r="AK3" s="100"/>
    </row>
    <row r="4" customFormat="false" ht="15" hidden="false" customHeight="false" outlineLevel="0" collapsed="false">
      <c r="A4" s="93"/>
      <c r="G4" s="101" t="s">
        <v>161</v>
      </c>
      <c r="H4" s="101"/>
      <c r="I4" s="101"/>
      <c r="J4" s="102"/>
      <c r="K4" s="96" t="s">
        <v>80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103" t="s">
        <v>162</v>
      </c>
      <c r="W4" s="103"/>
      <c r="X4" s="103"/>
      <c r="Y4" s="104" t="str">
        <f aca="false">'Datos '!D5</f>
        <v>"A"</v>
      </c>
      <c r="Z4" s="104"/>
      <c r="AA4" s="105"/>
      <c r="AC4" s="99" t="s">
        <v>163</v>
      </c>
      <c r="AE4" s="100"/>
      <c r="AF4" s="100"/>
      <c r="AG4" s="100"/>
      <c r="AH4" s="100"/>
      <c r="AI4" s="100"/>
      <c r="AJ4" s="100"/>
      <c r="AK4" s="100"/>
    </row>
    <row r="5" customFormat="false" ht="15" hidden="false" customHeight="true" outlineLevel="0" collapsed="false">
      <c r="A5" s="93"/>
      <c r="E5" s="106"/>
      <c r="F5" s="106"/>
      <c r="G5" s="106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H5" s="106"/>
      <c r="AI5" s="106"/>
      <c r="AJ5" s="108"/>
      <c r="AK5" s="108"/>
    </row>
    <row r="6" customFormat="false" ht="23.25" hidden="false" customHeight="true" outlineLevel="0" collapsed="false">
      <c r="A6" s="109" t="s">
        <v>164</v>
      </c>
      <c r="B6" s="110" t="s">
        <v>165</v>
      </c>
      <c r="C6" s="111" t="str">
        <f aca="false">ARTE!C6</f>
        <v>CUARTO BIMESTRE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2" t="s">
        <v>167</v>
      </c>
      <c r="AE6" s="113" t="str">
        <f aca="false">ARTE!AE6</f>
        <v>III BIMESTRE</v>
      </c>
      <c r="AF6" s="113"/>
      <c r="AG6" s="113"/>
      <c r="AH6" s="113"/>
      <c r="AI6" s="113"/>
      <c r="AJ6" s="113"/>
      <c r="AK6" s="113"/>
      <c r="AL6" s="113"/>
      <c r="AM6" s="113"/>
    </row>
    <row r="7" customFormat="false" ht="18" hidden="false" customHeight="true" outlineLevel="0" collapsed="false">
      <c r="A7" s="109"/>
      <c r="B7" s="110"/>
      <c r="C7" s="114" t="s">
        <v>169</v>
      </c>
      <c r="D7" s="114"/>
      <c r="E7" s="114"/>
      <c r="F7" s="114"/>
      <c r="G7" s="114"/>
      <c r="H7" s="114"/>
      <c r="I7" s="114"/>
      <c r="J7" s="114"/>
      <c r="K7" s="114" t="s">
        <v>170</v>
      </c>
      <c r="L7" s="114"/>
      <c r="M7" s="114"/>
      <c r="N7" s="114"/>
      <c r="O7" s="114"/>
      <c r="P7" s="114"/>
      <c r="Q7" s="114"/>
      <c r="R7" s="114" t="s">
        <v>171</v>
      </c>
      <c r="S7" s="114"/>
      <c r="T7" s="114"/>
      <c r="U7" s="114"/>
      <c r="V7" s="114"/>
      <c r="W7" s="114"/>
      <c r="X7" s="114" t="s">
        <v>172</v>
      </c>
      <c r="Y7" s="114"/>
      <c r="Z7" s="114"/>
      <c r="AA7" s="114"/>
      <c r="AB7" s="114"/>
      <c r="AC7" s="114"/>
      <c r="AD7" s="112"/>
      <c r="AE7" s="115" t="s">
        <v>173</v>
      </c>
      <c r="AF7" s="115"/>
      <c r="AG7" s="115"/>
      <c r="AH7" s="115"/>
      <c r="AI7" s="115"/>
      <c r="AJ7" s="115"/>
      <c r="AK7" s="115"/>
      <c r="AL7" s="115"/>
      <c r="AM7" s="115"/>
    </row>
    <row r="8" customFormat="false" ht="43.5" hidden="false" customHeight="true" outlineLevel="0" collapsed="false">
      <c r="A8" s="109"/>
      <c r="B8" s="110"/>
      <c r="C8" s="116" t="str">
        <f aca="false">IF(VLOOKUP(K4,'Competencias y capacidades'!A2:E13,2,FALSE())=0,"",VLOOKUP(K4,'Competencias y capacidades'!A2:E13,2,FALSE()))</f>
        <v>Resuelve problemas de cantidad</v>
      </c>
      <c r="D8" s="116"/>
      <c r="E8" s="116"/>
      <c r="F8" s="116"/>
      <c r="G8" s="116"/>
      <c r="H8" s="116"/>
      <c r="I8" s="116"/>
      <c r="J8" s="116" t="s">
        <v>174</v>
      </c>
      <c r="K8" s="116" t="str">
        <f aca="false">IF(VLOOKUP(K4,'Competencias y capacidades'!A2:E13,3,FALSE())=0,"",VLOOKUP(K4,'Competencias y capacidades'!A2:E13,3,FALSE()))</f>
        <v>Resuelve problemas de regularidad, equivalencia y cambio</v>
      </c>
      <c r="L8" s="116"/>
      <c r="M8" s="116"/>
      <c r="N8" s="116"/>
      <c r="O8" s="116"/>
      <c r="P8" s="116"/>
      <c r="Q8" s="116" t="s">
        <v>174</v>
      </c>
      <c r="R8" s="116" t="str">
        <f aca="false">IF(VLOOKUP(K4,'Competencias y capacidades'!A2:E13,4,FALSE())=0,"",VLOOKUP(K4,'Competencias y capacidades'!A2:E13,4,FALSE()))</f>
        <v>Resuelve problemas de forma, movimiento y localización</v>
      </c>
      <c r="S8" s="116"/>
      <c r="T8" s="116"/>
      <c r="U8" s="116"/>
      <c r="V8" s="116"/>
      <c r="W8" s="116" t="s">
        <v>174</v>
      </c>
      <c r="X8" s="116" t="str">
        <f aca="false">IF(VLOOKUP(K4,'Competencias y capacidades'!A2:E13,5,FALSE())=0,"",VLOOKUP(K4,'Competencias y capacidades'!A2:E13,5,FALSE()))</f>
        <v>Resuelve problemas de gestión de datos e incertidumbre</v>
      </c>
      <c r="Y8" s="116"/>
      <c r="Z8" s="116"/>
      <c r="AA8" s="116"/>
      <c r="AB8" s="116"/>
      <c r="AC8" s="117" t="s">
        <v>174</v>
      </c>
      <c r="AD8" s="112"/>
      <c r="AE8" s="118" t="s">
        <v>175</v>
      </c>
      <c r="AF8" s="118"/>
      <c r="AG8" s="118"/>
      <c r="AH8" s="118"/>
      <c r="AI8" s="118"/>
      <c r="AJ8" s="118" t="s">
        <v>176</v>
      </c>
      <c r="AK8" s="118"/>
      <c r="AL8" s="118"/>
      <c r="AM8" s="118"/>
      <c r="AX8" s="119" t="s">
        <v>177</v>
      </c>
      <c r="AY8" s="119"/>
      <c r="AZ8" s="119"/>
      <c r="BA8" s="119"/>
      <c r="BB8" s="119"/>
      <c r="BC8" s="119"/>
      <c r="BD8" s="119"/>
      <c r="BE8" s="119" t="s">
        <v>178</v>
      </c>
      <c r="BF8" s="119"/>
      <c r="BG8" s="119"/>
      <c r="BH8" s="119"/>
      <c r="BI8" s="119"/>
      <c r="BJ8" s="119"/>
      <c r="BK8" s="119" t="s">
        <v>179</v>
      </c>
      <c r="BL8" s="119"/>
      <c r="BM8" s="119"/>
      <c r="BN8" s="119"/>
      <c r="BO8" s="119"/>
      <c r="BP8" s="119" t="s">
        <v>180</v>
      </c>
      <c r="BQ8" s="119"/>
      <c r="BR8" s="119"/>
      <c r="BS8" s="119"/>
      <c r="BT8" s="119"/>
      <c r="BU8" s="120" t="s">
        <v>181</v>
      </c>
      <c r="BV8" s="121" t="s">
        <v>182</v>
      </c>
      <c r="BW8" s="121"/>
      <c r="BX8" s="121"/>
      <c r="BY8" s="121"/>
      <c r="BZ8" s="121"/>
      <c r="CA8" s="121" t="s">
        <v>183</v>
      </c>
      <c r="CB8" s="121"/>
      <c r="CC8" s="121"/>
      <c r="CD8" s="121"/>
    </row>
    <row r="9" customFormat="false" ht="154.5" hidden="false" customHeight="true" outlineLevel="0" collapsed="false">
      <c r="A9" s="109"/>
      <c r="B9" s="110"/>
      <c r="C9" s="122" t="str">
        <f aca="false">IF(IF($C$8="","",VLOOKUP($C$8,'Competencias y capacidades'!$H$2:$N$33,2,FALSE()))=0,"",IF($C$8="","",VLOOKUP($C$8,'Competencias y capacidades'!$H$2:$N$33,2,FALSE())))</f>
        <v>Traduce cantidades a expresiones numéricas</v>
      </c>
      <c r="D9" s="122" t="str">
        <f aca="false">IF(IF($C$8="","",VLOOKUP($C$8,'Competencias y capacidades'!$H$2:$N$33,3,FALSE()))=0,"",IF($C$8="","",VLOOKUP($C$8,'Competencias y capacidades'!$H$2:$N$33,3,FALSE())))</f>
        <v>Comunica su comprensión sobre los números y las operaciones</v>
      </c>
      <c r="E9" s="122" t="str">
        <f aca="false">IF(IF($C$8="","",VLOOKUP($C$8,'Competencias y capacidades'!$H$2:$N$33,4,FALSE()))=0,"",IF($C$8="","",VLOOKUP($C$8,'Competencias y capacidades'!$H$2:$N$33,4,FALSE())))</f>
        <v>Usa estrategias y procedimientos de estimación y cálculo</v>
      </c>
      <c r="F9" s="122" t="str">
        <f aca="false">IF(IF($C$8="","",VLOOKUP($C$8,'Competencias y capacidades'!$H$2:$N$33,5,FALSE()))=0,"",IF($C$8="","",VLOOKUP($C$8,'Competencias y capacidades'!$H$2:$N$33,5,FALSE())))</f>
        <v>Argumenta afirmaciones sobre las relaciones numéricas y las operaciones</v>
      </c>
      <c r="G9" s="122" t="str">
        <f aca="false">IF(IF($C$8="","",VLOOKUP($C$8,'Competencias y capacidades'!$H$2:$N$33,6,FALSE()))=0,"",IF($C$8="","",VLOOKUP($C$8,'Competencias y capacidades'!$H$2:$N$33,6,FALSE())))</f>
        <v/>
      </c>
      <c r="H9" s="122" t="str">
        <f aca="false">IF(IF($C$8="","",VLOOKUP($C$8,'Competencias y capacidades'!$H$2:$N$33,7,FALSE()))=0,"",IF($C$8="","",VLOOKUP($C$8,'Competencias y capacidades'!$H$2:$N$33,7,FALSE())))</f>
        <v/>
      </c>
      <c r="I9" s="123" t="s">
        <v>184</v>
      </c>
      <c r="J9" s="123" t="s">
        <v>185</v>
      </c>
      <c r="K9" s="122" t="str">
        <f aca="false">IF(IF($K$8="","",VLOOKUP($K$8,'Competencias y capacidades'!$H$2:$N$33,2,FALSE()))=0,"",IF($K$8="","",VLOOKUP($K$8,'Competencias y capacidades'!$H$2:$N$33,2,FALSE())))</f>
        <v>Traduce datos y condiciones a expresiones algebraicas</v>
      </c>
      <c r="L9" s="122" t="str">
        <f aca="false">IF(IF($K$8="","",VLOOKUP($K$8,'Competencias y capacidades'!$H$2:$N$33,3,FALSE()))=0,"",IF($K$8="","",VLOOKUP($K$8,'Competencias y capacidades'!$H$2:$N$33,3,FALSE())))</f>
        <v>Comunica su comprensión sobre las relaciones algebraicas</v>
      </c>
      <c r="M9" s="122" t="str">
        <f aca="false">IF(IF($K$8="","",VLOOKUP($K$8,'Competencias y capacidades'!$H$2:$N$33,4,FALSE()))=0,"",IF($K$8="","",VLOOKUP($K$8,'Competencias y capacidades'!$H$2:$N$33,4,FALSE())))</f>
        <v>Usa estrategias y procedimientos para encontrar reglas generales</v>
      </c>
      <c r="N9" s="122" t="str">
        <f aca="false">IF(IF($K$8="","",VLOOKUP($K$8,'Competencias y capacidades'!$H$2:$N$33,5,FALSE()))=0,"",IF($K$8="","",VLOOKUP($K$8,'Competencias y capacidades'!$H$2:$N$33,5,FALSE())))</f>
        <v>Argumenta afirmaciones sobre relaciones de cambio y equivalencia</v>
      </c>
      <c r="O9" s="122" t="str">
        <f aca="false">IF(IF($K$8="","",VLOOKUP($K$8,'Competencias y capacidades'!$H$2:$N$33,6,FALSE()))=0,"",IF($K$8="","",VLOOKUP($K$8,'Competencias y capacidades'!$H$2:$N$33,6,FALSE())))</f>
        <v/>
      </c>
      <c r="P9" s="123" t="s">
        <v>186</v>
      </c>
      <c r="Q9" s="123" t="s">
        <v>187</v>
      </c>
      <c r="R9" s="122" t="str">
        <f aca="false">IF(IF($R$8="","",VLOOKUP($R$8,'Competencias y capacidades'!$H$2:$N$33,2,FALSE()))=0,"",IF($R$8="","",VLOOKUP($R$8,'Competencias y capacidades'!$H$2:$N$33,2,FALSE())))</f>
        <v>Modela objetos con formas geométricas y sus transformaciones</v>
      </c>
      <c r="S9" s="122" t="str">
        <f aca="false">IF(IF($R$8="","",VLOOKUP($R$8,'Competencias y capacidades'!$H$2:$N$33,3,FALSE()))=0,"",IF($R$8="","",VLOOKUP($R$8,'Competencias y capacidades'!$H$2:$N$33,3,FALSE())))</f>
        <v>Comunica su comprensión sobre las formas y relaciones geométricas</v>
      </c>
      <c r="T9" s="122" t="str">
        <f aca="false">IF(IF($R$8="","",VLOOKUP($R$8,'Competencias y capacidades'!$H$2:$N$33,4,FALSE()))=0,"",IF($R$8="","",VLOOKUP($R$8,'Competencias y capacidades'!$H$2:$N$33,4,FALSE())))</f>
        <v>Usa estrategias y procedimientos para orientarse en el espacio</v>
      </c>
      <c r="U9" s="122" t="str">
        <f aca="false">IF(IF($R$8="","",VLOOKUP($R$8,'Competencias y capacidades'!$H$2:$N$33,5,FALSE()))=0,"",IF($R$8="","",VLOOKUP($R$8,'Competencias y capacidades'!$H$2:$N$33,5,FALSE())))</f>
        <v>Argumenta afirmaciones sobre relaciones geométricas</v>
      </c>
      <c r="V9" s="123" t="s">
        <v>186</v>
      </c>
      <c r="W9" s="123" t="s">
        <v>188</v>
      </c>
      <c r="X9" s="122" t="str">
        <f aca="false">IF(IF($X$8="","",VLOOKUP($X$8,'Competencias y capacidades'!$H$2:$N$33,2,FALSE()))=0,"",IF($X$8="","",VLOOKUP($X$8,'Competencias y capacidades'!$H$2:$N$33,2,FALSE())))</f>
        <v>Representa datos con gráficos y medidas estadísticas o probabilísticas</v>
      </c>
      <c r="Y9" s="122" t="str">
        <f aca="false">IF(IF($X$8="","",VLOOKUP($X$8,'Competencias y capacidades'!$H$2:$N$33,3,FALSE()))=0,"",IF($X$8="","",VLOOKUP($X$8,'Competencias y capacidades'!$H$2:$N$33,3,FALSE())))</f>
        <v>Comunica la comprensión de los conceptos estadísticos y probabilísticos</v>
      </c>
      <c r="Z9" s="122" t="str">
        <f aca="false">IF(IF($X$8="","",VLOOKUP($X$8,'Competencias y capacidades'!$H$2:$N$33,4,FALSE()))=0,"",IF($X$8="","",VLOOKUP($X$8,'Competencias y capacidades'!$H$2:$N$33,4,FALSE())))</f>
        <v>Usa estrategias y procedimientos para recopilar y procesar datos</v>
      </c>
      <c r="AA9" s="122" t="str">
        <f aca="false">IF(IF($X$8="","",VLOOKUP($X$8,'Competencias y capacidades'!$H$2:$N$33,5,FALSE()))=0,"",IF($X$8="","",VLOOKUP($X$8,'Competencias y capacidades'!$H$2:$N$33,5,FALSE())))</f>
        <v>Sustenta conclusiones o decisiones basado en información obtenida</v>
      </c>
      <c r="AB9" s="123" t="s">
        <v>186</v>
      </c>
      <c r="AC9" s="123" t="s">
        <v>189</v>
      </c>
      <c r="AD9" s="112"/>
      <c r="AE9" s="124" t="s">
        <v>190</v>
      </c>
      <c r="AF9" s="124" t="s">
        <v>191</v>
      </c>
      <c r="AG9" s="124" t="s">
        <v>192</v>
      </c>
      <c r="AH9" s="124" t="s">
        <v>193</v>
      </c>
      <c r="AI9" s="125" t="s">
        <v>194</v>
      </c>
      <c r="AJ9" s="124" t="s">
        <v>195</v>
      </c>
      <c r="AK9" s="124" t="s">
        <v>196</v>
      </c>
      <c r="AL9" s="124" t="s">
        <v>197</v>
      </c>
      <c r="AM9" s="125" t="s">
        <v>194</v>
      </c>
      <c r="AN9" s="126" t="s">
        <v>198</v>
      </c>
      <c r="AO9" s="126"/>
      <c r="AP9" s="126"/>
      <c r="AQ9" s="126"/>
      <c r="AR9" s="126"/>
      <c r="AS9" s="126"/>
      <c r="AT9" s="126"/>
      <c r="AU9" s="126"/>
      <c r="AV9" s="126"/>
      <c r="AX9" s="127" t="s">
        <v>199</v>
      </c>
      <c r="AY9" s="127" t="s">
        <v>200</v>
      </c>
      <c r="AZ9" s="127" t="s">
        <v>201</v>
      </c>
      <c r="BA9" s="127" t="s">
        <v>202</v>
      </c>
      <c r="BB9" s="127" t="s">
        <v>203</v>
      </c>
      <c r="BC9" s="127" t="s">
        <v>204</v>
      </c>
      <c r="BD9" s="128" t="s">
        <v>205</v>
      </c>
      <c r="BE9" s="127" t="s">
        <v>199</v>
      </c>
      <c r="BF9" s="127" t="s">
        <v>200</v>
      </c>
      <c r="BG9" s="127" t="s">
        <v>201</v>
      </c>
      <c r="BH9" s="127" t="s">
        <v>202</v>
      </c>
      <c r="BI9" s="127" t="s">
        <v>203</v>
      </c>
      <c r="BJ9" s="128" t="s">
        <v>205</v>
      </c>
      <c r="BK9" s="127" t="s">
        <v>199</v>
      </c>
      <c r="BL9" s="127" t="s">
        <v>200</v>
      </c>
      <c r="BM9" s="127" t="s">
        <v>201</v>
      </c>
      <c r="BN9" s="127" t="s">
        <v>202</v>
      </c>
      <c r="BO9" s="128" t="s">
        <v>205</v>
      </c>
      <c r="BP9" s="127" t="s">
        <v>199</v>
      </c>
      <c r="BQ9" s="127" t="s">
        <v>200</v>
      </c>
      <c r="BR9" s="127" t="s">
        <v>201</v>
      </c>
      <c r="BS9" s="127" t="s">
        <v>202</v>
      </c>
      <c r="BT9" s="128" t="s">
        <v>205</v>
      </c>
      <c r="BU9" s="120"/>
      <c r="BV9" s="127" t="s">
        <v>199</v>
      </c>
      <c r="BW9" s="127" t="s">
        <v>200</v>
      </c>
      <c r="BX9" s="127" t="s">
        <v>201</v>
      </c>
      <c r="BY9" s="127" t="s">
        <v>202</v>
      </c>
      <c r="BZ9" s="129" t="s">
        <v>205</v>
      </c>
      <c r="CA9" s="127" t="s">
        <v>199</v>
      </c>
      <c r="CB9" s="127" t="s">
        <v>200</v>
      </c>
      <c r="CC9" s="127" t="s">
        <v>201</v>
      </c>
      <c r="CD9" s="129" t="s">
        <v>205</v>
      </c>
    </row>
    <row r="10" customFormat="false" ht="12.75" hidden="false" customHeight="false" outlineLevel="0" collapsed="false">
      <c r="A10" s="130" t="n">
        <v>1</v>
      </c>
      <c r="B10" s="131" t="n">
        <f aca="false">'Datos '!D8</f>
        <v>0</v>
      </c>
      <c r="C10" s="132"/>
      <c r="D10" s="132"/>
      <c r="E10" s="132"/>
      <c r="F10" s="132"/>
      <c r="G10" s="132"/>
      <c r="H10" s="133"/>
      <c r="I10" s="134" t="str">
        <f aca="false">IF(BD10="","",IF(BD10=3,"AD",IF(BD10=2, "A",IF(BD10= 1, "B",IF(BD10= 0, "C")))))</f>
        <v/>
      </c>
      <c r="J10" s="135"/>
      <c r="K10" s="132"/>
      <c r="L10" s="132"/>
      <c r="M10" s="132"/>
      <c r="N10" s="132"/>
      <c r="O10" s="132"/>
      <c r="P10" s="134" t="str">
        <f aca="false">IF(BJ10="","",IF(BJ10=3,"AD",IF(BJ10=2, "A",IF(BJ10= 1, "B",IF(BJ10= 0, "C")))))</f>
        <v/>
      </c>
      <c r="Q10" s="135"/>
      <c r="R10" s="132"/>
      <c r="S10" s="132"/>
      <c r="T10" s="132"/>
      <c r="U10" s="132"/>
      <c r="V10" s="134" t="str">
        <f aca="false">IF(BO10="","",IF(BO10=3,"AD",IF(BO10=2, "A",IF(BO10= 1, "B",IF(BO10= 0, "C")))))</f>
        <v/>
      </c>
      <c r="W10" s="135"/>
      <c r="X10" s="132"/>
      <c r="Y10" s="132"/>
      <c r="Z10" s="132"/>
      <c r="AA10" s="132"/>
      <c r="AB10" s="134" t="str">
        <f aca="false">IF(BT10="","",IF(BT10=3,"AD",IF(BT10=2, "A",IF(BT10= 1, "B",IF(BT10= 0, "C")))))</f>
        <v/>
      </c>
      <c r="AC10" s="136"/>
      <c r="AD10" s="137" t="str">
        <f aca="false">IF(BU10="","",IF(BU10=3,"AD",IF(BU10=2, "A",IF(BU10= 1, "B",IF(BU10= 0, "C")))))</f>
        <v/>
      </c>
      <c r="AE10" s="132"/>
      <c r="AF10" s="132"/>
      <c r="AG10" s="132"/>
      <c r="AH10" s="132"/>
      <c r="AI10" s="138" t="str">
        <f aca="false">IF(BZ10="","",IF(BZ10=3,"AD",IF(BZ10=2, "A",IF(BZ10= 1, "B",IF(BZ10= 0, "C")))))</f>
        <v/>
      </c>
      <c r="AJ10" s="132"/>
      <c r="AK10" s="132"/>
      <c r="AL10" s="132"/>
      <c r="AM10" s="138" t="str">
        <f aca="false">IF(CD10="","",IF(CD10=3,"AD",IF(CD10=2, "A",IF(CD10= 1, "B",IF(CD10= 0, "C")))))</f>
        <v/>
      </c>
      <c r="AN10" s="139" t="str">
        <f aca="false">IF(AD10="","No presenta evidencias para su calificación",IF(AD10="AD","Demuestra aprendizaje que van más allá del nivel esperado",IF(AD10="A","Demuestra manejo satisfactorio en todas las tareas propuestas",IF(AD10="B","Está próximo al nivel esperado para lo cual requiere acompañamiento durante un tiempo razonable",IF(AD10= "C","No logro el desarrollo de las competencias",)))))</f>
        <v>No presenta evidencias para su calificación</v>
      </c>
      <c r="AO10" s="139"/>
      <c r="AP10" s="139"/>
      <c r="AQ10" s="139"/>
      <c r="AR10" s="139"/>
      <c r="AS10" s="139"/>
      <c r="AT10" s="139"/>
      <c r="AU10" s="139"/>
      <c r="AV10" s="139"/>
      <c r="AX10" s="140" t="str">
        <f aca="false">IF(C10="","",IF(C10="AD",3,IF(C10="A",2,IF(C10="B",1,IF(C10="C",0)))))</f>
        <v/>
      </c>
      <c r="AY10" s="140" t="str">
        <f aca="false">IF(D10="","",IF(D10="AD",3,IF(D10="A",2,IF(D10="B",1,IF(D10="C",0)))))</f>
        <v/>
      </c>
      <c r="AZ10" s="140" t="str">
        <f aca="false">IF(E10="","",IF(E10="AD",3,IF(E10="A",2,IF(E10="B",1,IF(E10="C",0)))))</f>
        <v/>
      </c>
      <c r="BA10" s="140" t="str">
        <f aca="false">IF(F10="","",IF(F10="AD",3,IF(F10="A",2,IF(F10="B",1,IF(F10="C",0)))))</f>
        <v/>
      </c>
      <c r="BB10" s="140" t="str">
        <f aca="false">IF(G10="","",IF(G10="AD",3,IF(G10="A",2,IF(G10="B",1,IF(G10="C",0)))))</f>
        <v/>
      </c>
      <c r="BC10" s="140" t="str">
        <f aca="false">IF(H10="","",IF(H10="AD",3,IF(H10="A",2,IF(H10="B",1,IF(H10="C",0)))))</f>
        <v/>
      </c>
      <c r="BD10" s="141" t="str">
        <f aca="false">IF(B10="","",IF(COUNT(AX10:BC10)=0,"",ROUND(AVERAGE(AX10:BC10),0)))</f>
        <v/>
      </c>
      <c r="BE10" s="140" t="str">
        <f aca="false">IF(K10="","",IF(K10="AD",3,IF(K10="A",2,IF(K10="B",1,IF(K10="C",0)))))</f>
        <v/>
      </c>
      <c r="BF10" s="140" t="str">
        <f aca="false">IF(L10="","",IF(L10="AD",3,IF(L10="A",2,IF(L10="B",1,IF(L10="C",0)))))</f>
        <v/>
      </c>
      <c r="BG10" s="140" t="str">
        <f aca="false">IF(M10="","",IF(M10="AD",3,IF(M10="A",2,IF(M10="B",1,IF(M10="C",0)))))</f>
        <v/>
      </c>
      <c r="BH10" s="140" t="str">
        <f aca="false">IF(N10="","",IF(N10="AD",3,IF(N10="A",2,IF(N10="B",1,IF(N10="C",0)))))</f>
        <v/>
      </c>
      <c r="BI10" s="140" t="str">
        <f aca="false">IF(O10="","",IF(O10="AD",3,IF(O10="A",2,IF(O10="B",1,IF(O10="C",0)))))</f>
        <v/>
      </c>
      <c r="BJ10" s="141" t="str">
        <f aca="false">IF(B10="","",IF(COUNT(BE10:BI10)=0,"",ROUND(AVERAGE(BE10:BI10),0)))</f>
        <v/>
      </c>
      <c r="BK10" s="140" t="str">
        <f aca="false">IF(R10="","",IF(R10="AD",3,IF(R10="A",2,IF(R10="B",1,IF(R10="C",0)))))</f>
        <v/>
      </c>
      <c r="BL10" s="140" t="str">
        <f aca="false">IF(S10="","",IF(S10="AD",3,IF(S10="A",2,IF(S10="B",1,IF(S10="C",0)))))</f>
        <v/>
      </c>
      <c r="BM10" s="140" t="str">
        <f aca="false">IF(T10="","",IF(T10="AD",3,IF(T10="A",2,IF(T10="B",1,IF(T10="C",0)))))</f>
        <v/>
      </c>
      <c r="BN10" s="140" t="str">
        <f aca="false">IF(U10="","",IF(U10="AD",3,IF(U10="A",2,IF(U10="B",1,IF(U10="C",0)))))</f>
        <v/>
      </c>
      <c r="BO10" s="141" t="str">
        <f aca="false">IF(B10="","",IF(COUNT(BK10:BN10)=0,"",ROUND(AVERAGE(BK10:BN10),0)))</f>
        <v/>
      </c>
      <c r="BP10" s="140" t="str">
        <f aca="false">IF(X10="","",IF(X10="AD",3,IF(X10="A",2,IF(X10="B",1,IF(X10="C",0)))))</f>
        <v/>
      </c>
      <c r="BQ10" s="140" t="str">
        <f aca="false">IF(Y10="","",IF(Y10="AD",3,IF(Y10="A",2,IF(Y10="B",1,IF(Y10="C",0)))))</f>
        <v/>
      </c>
      <c r="BR10" s="140" t="str">
        <f aca="false">IF(Z10="","",IF(Z10="AD",3,IF(Z10="A",2,IF(Z10="B",1,IF(Z10="C",0)))))</f>
        <v/>
      </c>
      <c r="BS10" s="140" t="str">
        <f aca="false">IF(AA10="","",IF(AA10="AD",3,IF(AA10="A",2,IF(AA10="B",1,IF(AA10="C",0)))))</f>
        <v/>
      </c>
      <c r="BT10" s="141" t="str">
        <f aca="false">IF(B10="","",IF(COUNT(BP10:BS10)=0,"",ROUND(AVERAGE(BP10:BS10),0)))</f>
        <v/>
      </c>
      <c r="BU10" s="142" t="str">
        <f aca="false">IF(ISERROR(AVERAGE(BD10,BJ10,BO10,BT10)),"",ROUND(AVERAGE(BD10,BJ10,BO10,BT10),0))</f>
        <v/>
      </c>
      <c r="BV10" s="140" t="str">
        <f aca="false">IF(AE10="","",IF(AE10="AD",3,IF(AE10="A",2,IF(AE10="B",1,IF(AE10="C",0)))))</f>
        <v/>
      </c>
      <c r="BW10" s="140" t="str">
        <f aca="false">IF(AF10="","",IF(AF10="AD",3,IF(AF10="A",2,IF(AF10="B",1,IF(AF10="C",0)))))</f>
        <v/>
      </c>
      <c r="BX10" s="140" t="str">
        <f aca="false">IF(AG10="","",IF(AG10="AD",3,IF(AG10="A",2,IF(AG10="B",1,IF(AG10="C",0)))))</f>
        <v/>
      </c>
      <c r="BY10" s="140" t="str">
        <f aca="false">IF(AH10="","",IF(AH10="AD",3,IF(AH10="A",2,IF(AH10="B",1,IF(AH10="C",0)))))</f>
        <v/>
      </c>
      <c r="BZ10" s="141" t="str">
        <f aca="false">IF(B10="","",IF(COUNT(BV10:BY10)=0,"",ROUND(AVERAGE(BV10:BY10),0)))</f>
        <v/>
      </c>
      <c r="CA10" s="140" t="str">
        <f aca="false">IF(AJ10="","",IF(AJ10="AD",3,IF(AJ10="A",2,IF(AJ10="B",1,IF(AJ10="C",0)))))</f>
        <v/>
      </c>
      <c r="CB10" s="140" t="str">
        <f aca="false">IF(AK10="","",IF(AK10="AD",3,IF(AK10="A",2,IF(AK10="B",1,IF(AK10="C",0)))))</f>
        <v/>
      </c>
      <c r="CC10" s="140" t="str">
        <f aca="false">IF(AL10="","",IF(AL10="AD",3,IF(AL10="A",2,IF(AL10="B",1,IF(AL10="C",0)))))</f>
        <v/>
      </c>
      <c r="CD10" s="141" t="str">
        <f aca="false">IF(B10="","",IF(COUNT(CA10:CC10)=0,"",ROUND(AVERAGE(CA10:CC10),0)))</f>
        <v/>
      </c>
    </row>
    <row r="11" customFormat="false" ht="12.75" hidden="false" customHeight="false" outlineLevel="0" collapsed="false">
      <c r="A11" s="130" t="n">
        <v>2</v>
      </c>
      <c r="B11" s="131" t="n">
        <f aca="false">'Datos '!D9</f>
        <v>0</v>
      </c>
      <c r="C11" s="132"/>
      <c r="D11" s="132"/>
      <c r="E11" s="132"/>
      <c r="F11" s="132"/>
      <c r="G11" s="132"/>
      <c r="H11" s="133"/>
      <c r="I11" s="134" t="str">
        <f aca="false">IF(BD11="","",IF(BD11=3,"AD",IF(BD11=2, "A",IF(BD11= 1, "B",IF(BD11= 0, "C")))))</f>
        <v/>
      </c>
      <c r="J11" s="135"/>
      <c r="K11" s="132"/>
      <c r="L11" s="132"/>
      <c r="M11" s="132"/>
      <c r="N11" s="132"/>
      <c r="O11" s="132"/>
      <c r="P11" s="134" t="str">
        <f aca="false">IF(BJ11="","",IF(BJ11=3,"AD",IF(BJ11=2, "A",IF(BJ11= 1, "B",IF(BJ11= 0, "C")))))</f>
        <v/>
      </c>
      <c r="Q11" s="135"/>
      <c r="R11" s="132"/>
      <c r="S11" s="132"/>
      <c r="T11" s="132"/>
      <c r="U11" s="132"/>
      <c r="V11" s="134" t="str">
        <f aca="false">IF(BO11="","",IF(BO11=3,"AD",IF(BO11=2, "A",IF(BO11= 1, "B",IF(BO11= 0, "C")))))</f>
        <v/>
      </c>
      <c r="W11" s="135"/>
      <c r="X11" s="132"/>
      <c r="Y11" s="132"/>
      <c r="Z11" s="132"/>
      <c r="AA11" s="132"/>
      <c r="AB11" s="134" t="str">
        <f aca="false">IF(BT11="","",IF(BT11=3,"AD",IF(BT11=2, "A",IF(BT11= 1, "B",IF(BT11= 0, "C")))))</f>
        <v/>
      </c>
      <c r="AC11" s="136"/>
      <c r="AD11" s="137" t="str">
        <f aca="false">IF(BU11="","",IF(BU11=3,"AD",IF(BU11=2, "A",IF(BU11= 1, "B",IF(BU11= 0, "C")))))</f>
        <v/>
      </c>
      <c r="AE11" s="132"/>
      <c r="AF11" s="132"/>
      <c r="AG11" s="132"/>
      <c r="AH11" s="132"/>
      <c r="AI11" s="138" t="str">
        <f aca="false">IF(BZ11="","",IF(BZ11=3,"AD",IF(BZ11=2, "A",IF(BZ11= 1, "B",IF(BZ11= 0, "C")))))</f>
        <v/>
      </c>
      <c r="AJ11" s="132"/>
      <c r="AK11" s="132"/>
      <c r="AL11" s="132"/>
      <c r="AM11" s="138" t="str">
        <f aca="false">IF(CD11="","",IF(CD11=3,"AD",IF(CD11=2, "A",IF(CD11= 1, "B",IF(CD11= 0, "C")))))</f>
        <v/>
      </c>
      <c r="AN11" s="139" t="str">
        <f aca="false">IF(AD11="","No presenta evidencias para su calificación",IF(AD11="AD","Demuestra aprendizaje que van más allá del nivel esperado",IF(AD11="A","Demuestra manejo satisfactorio en todas las tareas propuestas",IF(AD11="B","Está próximo al nivel esperado para lo cual requiere acompañamiento durante un tiempo razonable",IF(AD11= "C","No logro el desarrollo de las competencias",)))))</f>
        <v>No presenta evidencias para su calificación</v>
      </c>
      <c r="AO11" s="139"/>
      <c r="AP11" s="139"/>
      <c r="AQ11" s="139"/>
      <c r="AR11" s="139"/>
      <c r="AS11" s="139"/>
      <c r="AT11" s="139"/>
      <c r="AU11" s="139"/>
      <c r="AV11" s="139"/>
      <c r="AX11" s="140" t="str">
        <f aca="false">IF(C11="","",IF(C11="AD",3,IF(C11="A",2,IF(C11="B",1,IF(C11="C",0)))))</f>
        <v/>
      </c>
      <c r="AY11" s="140" t="str">
        <f aca="false">IF(D11="","",IF(D11="AD",3,IF(D11="A",2,IF(D11="B",1,IF(D11="C",0)))))</f>
        <v/>
      </c>
      <c r="AZ11" s="140" t="str">
        <f aca="false">IF(E11="","",IF(E11="AD",3,IF(E11="A",2,IF(E11="B",1,IF(E11="C",0)))))</f>
        <v/>
      </c>
      <c r="BA11" s="140" t="str">
        <f aca="false">IF(F11="","",IF(F11="AD",3,IF(F11="A",2,IF(F11="B",1,IF(F11="C",0)))))</f>
        <v/>
      </c>
      <c r="BB11" s="140" t="str">
        <f aca="false">IF(G11="","",IF(G11="AD",3,IF(G11="A",2,IF(G11="B",1,IF(G11="C",0)))))</f>
        <v/>
      </c>
      <c r="BC11" s="140" t="str">
        <f aca="false">IF(H11="","",IF(H11="AD",3,IF(H11="A",2,IF(H11="B",1,IF(H11="C",0)))))</f>
        <v/>
      </c>
      <c r="BD11" s="141" t="str">
        <f aca="false">IF(B11="","",IF(COUNT(AX11:BC11)=0,"",ROUND(AVERAGE(AX11:BC11),0)))</f>
        <v/>
      </c>
      <c r="BE11" s="140" t="str">
        <f aca="false">IF(K11="","",IF(K11="AD",3,IF(K11="A",2,IF(K11="B",1,IF(K11="C",0)))))</f>
        <v/>
      </c>
      <c r="BF11" s="140" t="str">
        <f aca="false">IF(L11="","",IF(L11="AD",3,IF(L11="A",2,IF(L11="B",1,IF(L11="C",0)))))</f>
        <v/>
      </c>
      <c r="BG11" s="140" t="str">
        <f aca="false">IF(M11="","",IF(M11="AD",3,IF(M11="A",2,IF(M11="B",1,IF(M11="C",0)))))</f>
        <v/>
      </c>
      <c r="BH11" s="140" t="str">
        <f aca="false">IF(N11="","",IF(N11="AD",3,IF(N11="A",2,IF(N11="B",1,IF(N11="C",0)))))</f>
        <v/>
      </c>
      <c r="BI11" s="140" t="str">
        <f aca="false">IF(O11="","",IF(O11="AD",3,IF(O11="A",2,IF(O11="B",1,IF(O11="C",0)))))</f>
        <v/>
      </c>
      <c r="BJ11" s="141" t="str">
        <f aca="false">IF(B11="","",IF(COUNT(BE11:BI11)=0,"",ROUND(AVERAGE(BE11:BI11),0)))</f>
        <v/>
      </c>
      <c r="BK11" s="140" t="str">
        <f aca="false">IF(R11="","",IF(R11="AD",3,IF(R11="A",2,IF(R11="B",1,IF(R11="C",0)))))</f>
        <v/>
      </c>
      <c r="BL11" s="140" t="str">
        <f aca="false">IF(S11="","",IF(S11="AD",3,IF(S11="A",2,IF(S11="B",1,IF(S11="C",0)))))</f>
        <v/>
      </c>
      <c r="BM11" s="140" t="str">
        <f aca="false">IF(T11="","",IF(T11="AD",3,IF(T11="A",2,IF(T11="B",1,IF(T11="C",0)))))</f>
        <v/>
      </c>
      <c r="BN11" s="140" t="str">
        <f aca="false">IF(U11="","",IF(U11="AD",3,IF(U11="A",2,IF(U11="B",1,IF(U11="C",0)))))</f>
        <v/>
      </c>
      <c r="BO11" s="141" t="str">
        <f aca="false">IF(B11="","",IF(COUNT(BK11:BN11)=0,"",ROUND(AVERAGE(BK11:BN11),0)))</f>
        <v/>
      </c>
      <c r="BP11" s="140" t="str">
        <f aca="false">IF(X11="","",IF(X11="AD",3,IF(X11="A",2,IF(X11="B",1,IF(X11="C",0)))))</f>
        <v/>
      </c>
      <c r="BQ11" s="140" t="str">
        <f aca="false">IF(Y11="","",IF(Y11="AD",3,IF(Y11="A",2,IF(Y11="B",1,IF(Y11="C",0)))))</f>
        <v/>
      </c>
      <c r="BR11" s="140" t="str">
        <f aca="false">IF(Z11="","",IF(Z11="AD",3,IF(Z11="A",2,IF(Z11="B",1,IF(Z11="C",0)))))</f>
        <v/>
      </c>
      <c r="BS11" s="140" t="str">
        <f aca="false">IF(AA11="","",IF(AA11="AD",3,IF(AA11="A",2,IF(AA11="B",1,IF(AA11="C",0)))))</f>
        <v/>
      </c>
      <c r="BT11" s="141" t="str">
        <f aca="false">IF(B11="","",IF(COUNT(BP11:BS11)=0,"",ROUND(AVERAGE(BP11:BS11),0)))</f>
        <v/>
      </c>
      <c r="BU11" s="142" t="str">
        <f aca="false">IF(ISERROR(AVERAGE(BD11,BJ11,BO11,BT11)),"",ROUND(AVERAGE(BD11,BJ11,BO11,BT11),0))</f>
        <v/>
      </c>
      <c r="BV11" s="140" t="str">
        <f aca="false">IF(AE11="","",IF(AE11="AD",3,IF(AE11="A",2,IF(AE11="B",1,IF(AE11="C",0)))))</f>
        <v/>
      </c>
      <c r="BW11" s="140" t="str">
        <f aca="false">IF(AF11="","",IF(AF11="AD",3,IF(AF11="A",2,IF(AF11="B",1,IF(AF11="C",0)))))</f>
        <v/>
      </c>
      <c r="BX11" s="140" t="str">
        <f aca="false">IF(AG11="","",IF(AG11="AD",3,IF(AG11="A",2,IF(AG11="B",1,IF(AG11="C",0)))))</f>
        <v/>
      </c>
      <c r="BY11" s="140" t="str">
        <f aca="false">IF(AH11="","",IF(AH11="AD",3,IF(AH11="A",2,IF(AH11="B",1,IF(AH11="C",0)))))</f>
        <v/>
      </c>
      <c r="BZ11" s="141" t="str">
        <f aca="false">IF(B11="","",IF(COUNT(BV11:BY11)=0,"",ROUND(AVERAGE(BV11:BY11),0)))</f>
        <v/>
      </c>
      <c r="CA11" s="140" t="str">
        <f aca="false">IF(AJ11="","",IF(AJ11="AD",3,IF(AJ11="A",2,IF(AJ11="B",1,IF(AJ11="C",0)))))</f>
        <v/>
      </c>
      <c r="CB11" s="140" t="str">
        <f aca="false">IF(AK11="","",IF(AK11="AD",3,IF(AK11="A",2,IF(AK11="B",1,IF(AK11="C",0)))))</f>
        <v/>
      </c>
      <c r="CC11" s="140" t="str">
        <f aca="false">IF(AL11="","",IF(AL11="AD",3,IF(AL11="A",2,IF(AL11="B",1,IF(AL11="C",0)))))</f>
        <v/>
      </c>
      <c r="CD11" s="141" t="str">
        <f aca="false">IF(B11="","",IF(COUNT(CA11:CC11)=0,"",ROUND(AVERAGE(CA11:CC11),0)))</f>
        <v/>
      </c>
    </row>
    <row r="12" customFormat="false" ht="12.75" hidden="false" customHeight="false" outlineLevel="0" collapsed="false">
      <c r="A12" s="130" t="n">
        <v>3</v>
      </c>
      <c r="B12" s="131" t="n">
        <f aca="false">'Datos '!D10</f>
        <v>0</v>
      </c>
      <c r="C12" s="132"/>
      <c r="D12" s="132"/>
      <c r="E12" s="132"/>
      <c r="F12" s="132"/>
      <c r="G12" s="132"/>
      <c r="H12" s="133"/>
      <c r="I12" s="134" t="str">
        <f aca="false">IF(BD12="","",IF(BD12=3,"AD",IF(BD12=2, "A",IF(BD12= 1, "B",IF(BD12= 0, "C")))))</f>
        <v/>
      </c>
      <c r="J12" s="135"/>
      <c r="K12" s="132"/>
      <c r="L12" s="132"/>
      <c r="M12" s="132"/>
      <c r="N12" s="132"/>
      <c r="O12" s="132"/>
      <c r="P12" s="134" t="str">
        <f aca="false">IF(BJ12="","",IF(BJ12=3,"AD",IF(BJ12=2, "A",IF(BJ12= 1, "B",IF(BJ12= 0, "C")))))</f>
        <v/>
      </c>
      <c r="Q12" s="135"/>
      <c r="R12" s="132"/>
      <c r="S12" s="132"/>
      <c r="T12" s="132"/>
      <c r="U12" s="132"/>
      <c r="V12" s="134" t="str">
        <f aca="false">IF(BO12="","",IF(BO12=3,"AD",IF(BO12=2, "A",IF(BO12= 1, "B",IF(BO12= 0, "C")))))</f>
        <v/>
      </c>
      <c r="W12" s="135"/>
      <c r="X12" s="132"/>
      <c r="Y12" s="132"/>
      <c r="Z12" s="132"/>
      <c r="AA12" s="132"/>
      <c r="AB12" s="134" t="str">
        <f aca="false">IF(BT12="","",IF(BT12=3,"AD",IF(BT12=2, "A",IF(BT12= 1, "B",IF(BT12= 0, "C")))))</f>
        <v/>
      </c>
      <c r="AC12" s="136"/>
      <c r="AD12" s="137" t="str">
        <f aca="false">IF(BU12="","",IF(BU12=3,"AD",IF(BU12=2, "A",IF(BU12= 1, "B",IF(BU12= 0, "C")))))</f>
        <v/>
      </c>
      <c r="AE12" s="132"/>
      <c r="AF12" s="132"/>
      <c r="AG12" s="132"/>
      <c r="AH12" s="132"/>
      <c r="AI12" s="138" t="str">
        <f aca="false">IF(BZ12="","",IF(BZ12=3,"AD",IF(BZ12=2, "A",IF(BZ12= 1, "B",IF(BZ12= 0, "C")))))</f>
        <v/>
      </c>
      <c r="AJ12" s="132"/>
      <c r="AK12" s="132"/>
      <c r="AL12" s="132"/>
      <c r="AM12" s="138" t="str">
        <f aca="false">IF(CD12="","",IF(CD12=3,"AD",IF(CD12=2, "A",IF(CD12= 1, "B",IF(CD12= 0, "C")))))</f>
        <v/>
      </c>
      <c r="AN12" s="139" t="str">
        <f aca="false">IF(AD12="","No presenta evidencias para su calificación",IF(AD12="AD","Demuestra aprendizaje que van más allá del nivel esperado",IF(AD12="A","Demuestra manejo satisfactorio en todas las tareas propuestas",IF(AD12="B","Está próximo al nivel esperado para lo cual requiere acompañamiento durante un tiempo razonable",IF(AD12= "C","No logro el desarrollo de las competencias",)))))</f>
        <v>No presenta evidencias para su calificación</v>
      </c>
      <c r="AO12" s="139"/>
      <c r="AP12" s="139"/>
      <c r="AQ12" s="139"/>
      <c r="AR12" s="139"/>
      <c r="AS12" s="139"/>
      <c r="AT12" s="139"/>
      <c r="AU12" s="139"/>
      <c r="AV12" s="139"/>
      <c r="AX12" s="140" t="str">
        <f aca="false">IF(C12="","",IF(C12="AD",3,IF(C12="A",2,IF(C12="B",1,IF(C12="C",0)))))</f>
        <v/>
      </c>
      <c r="AY12" s="140" t="str">
        <f aca="false">IF(D12="","",IF(D12="AD",3,IF(D12="A",2,IF(D12="B",1,IF(D12="C",0)))))</f>
        <v/>
      </c>
      <c r="AZ12" s="140" t="str">
        <f aca="false">IF(E12="","",IF(E12="AD",3,IF(E12="A",2,IF(E12="B",1,IF(E12="C",0)))))</f>
        <v/>
      </c>
      <c r="BA12" s="140" t="str">
        <f aca="false">IF(F12="","",IF(F12="AD",3,IF(F12="A",2,IF(F12="B",1,IF(F12="C",0)))))</f>
        <v/>
      </c>
      <c r="BB12" s="140" t="str">
        <f aca="false">IF(G12="","",IF(G12="AD",3,IF(G12="A",2,IF(G12="B",1,IF(G12="C",0)))))</f>
        <v/>
      </c>
      <c r="BC12" s="140" t="str">
        <f aca="false">IF(H12="","",IF(H12="AD",3,IF(H12="A",2,IF(H12="B",1,IF(H12="C",0)))))</f>
        <v/>
      </c>
      <c r="BD12" s="141" t="str">
        <f aca="false">IF(B12="","",IF(COUNT(AX12:BC12)=0,"",ROUND(AVERAGE(AX12:BC12),0)))</f>
        <v/>
      </c>
      <c r="BE12" s="140" t="str">
        <f aca="false">IF(K12="","",IF(K12="AD",3,IF(K12="A",2,IF(K12="B",1,IF(K12="C",0)))))</f>
        <v/>
      </c>
      <c r="BF12" s="140" t="str">
        <f aca="false">IF(L12="","",IF(L12="AD",3,IF(L12="A",2,IF(L12="B",1,IF(L12="C",0)))))</f>
        <v/>
      </c>
      <c r="BG12" s="140" t="str">
        <f aca="false">IF(M12="","",IF(M12="AD",3,IF(M12="A",2,IF(M12="B",1,IF(M12="C",0)))))</f>
        <v/>
      </c>
      <c r="BH12" s="140" t="str">
        <f aca="false">IF(N12="","",IF(N12="AD",3,IF(N12="A",2,IF(N12="B",1,IF(N12="C",0)))))</f>
        <v/>
      </c>
      <c r="BI12" s="140" t="str">
        <f aca="false">IF(O12="","",IF(O12="AD",3,IF(O12="A",2,IF(O12="B",1,IF(O12="C",0)))))</f>
        <v/>
      </c>
      <c r="BJ12" s="141" t="str">
        <f aca="false">IF(B12="","",IF(COUNT(BE12:BI12)=0,"",ROUND(AVERAGE(BE12:BI12),0)))</f>
        <v/>
      </c>
      <c r="BK12" s="140" t="str">
        <f aca="false">IF(R12="","",IF(R12="AD",3,IF(R12="A",2,IF(R12="B",1,IF(R12="C",0)))))</f>
        <v/>
      </c>
      <c r="BL12" s="140" t="str">
        <f aca="false">IF(S12="","",IF(S12="AD",3,IF(S12="A",2,IF(S12="B",1,IF(S12="C",0)))))</f>
        <v/>
      </c>
      <c r="BM12" s="140" t="str">
        <f aca="false">IF(T12="","",IF(T12="AD",3,IF(T12="A",2,IF(T12="B",1,IF(T12="C",0)))))</f>
        <v/>
      </c>
      <c r="BN12" s="140" t="str">
        <f aca="false">IF(U12="","",IF(U12="AD",3,IF(U12="A",2,IF(U12="B",1,IF(U12="C",0)))))</f>
        <v/>
      </c>
      <c r="BO12" s="141" t="str">
        <f aca="false">IF(B12="","",IF(COUNT(BK12:BN12)=0,"",ROUND(AVERAGE(BK12:BN12),0)))</f>
        <v/>
      </c>
      <c r="BP12" s="140" t="str">
        <f aca="false">IF(X12="","",IF(X12="AD",3,IF(X12="A",2,IF(X12="B",1,IF(X12="C",0)))))</f>
        <v/>
      </c>
      <c r="BQ12" s="140" t="str">
        <f aca="false">IF(Y12="","",IF(Y12="AD",3,IF(Y12="A",2,IF(Y12="B",1,IF(Y12="C",0)))))</f>
        <v/>
      </c>
      <c r="BR12" s="140" t="str">
        <f aca="false">IF(Z12="","",IF(Z12="AD",3,IF(Z12="A",2,IF(Z12="B",1,IF(Z12="C",0)))))</f>
        <v/>
      </c>
      <c r="BS12" s="140" t="str">
        <f aca="false">IF(AA12="","",IF(AA12="AD",3,IF(AA12="A",2,IF(AA12="B",1,IF(AA12="C",0)))))</f>
        <v/>
      </c>
      <c r="BT12" s="141" t="str">
        <f aca="false">IF(B12="","",IF(COUNT(BP12:BS12)=0,"",ROUND(AVERAGE(BP12:BS12),0)))</f>
        <v/>
      </c>
      <c r="BU12" s="142" t="str">
        <f aca="false">IF(ISERROR(AVERAGE(BD12,BJ12,BO12,BT12)),"",ROUND(AVERAGE(BD12,BJ12,BO12,BT12),0))</f>
        <v/>
      </c>
      <c r="BV12" s="140" t="str">
        <f aca="false">IF(AE12="","",IF(AE12="AD",3,IF(AE12="A",2,IF(AE12="B",1,IF(AE12="C",0)))))</f>
        <v/>
      </c>
      <c r="BW12" s="140" t="str">
        <f aca="false">IF(AF12="","",IF(AF12="AD",3,IF(AF12="A",2,IF(AF12="B",1,IF(AF12="C",0)))))</f>
        <v/>
      </c>
      <c r="BX12" s="140" t="str">
        <f aca="false">IF(AG12="","",IF(AG12="AD",3,IF(AG12="A",2,IF(AG12="B",1,IF(AG12="C",0)))))</f>
        <v/>
      </c>
      <c r="BY12" s="140" t="str">
        <f aca="false">IF(AH12="","",IF(AH12="AD",3,IF(AH12="A",2,IF(AH12="B",1,IF(AH12="C",0)))))</f>
        <v/>
      </c>
      <c r="BZ12" s="141" t="str">
        <f aca="false">IF(B12="","",IF(COUNT(BV12:BY12)=0,"",ROUND(AVERAGE(BV12:BY12),0)))</f>
        <v/>
      </c>
      <c r="CA12" s="140" t="str">
        <f aca="false">IF(AJ12="","",IF(AJ12="AD",3,IF(AJ12="A",2,IF(AJ12="B",1,IF(AJ12="C",0)))))</f>
        <v/>
      </c>
      <c r="CB12" s="140" t="str">
        <f aca="false">IF(AK12="","",IF(AK12="AD",3,IF(AK12="A",2,IF(AK12="B",1,IF(AK12="C",0)))))</f>
        <v/>
      </c>
      <c r="CC12" s="140" t="str">
        <f aca="false">IF(AL12="","",IF(AL12="AD",3,IF(AL12="A",2,IF(AL12="B",1,IF(AL12="C",0)))))</f>
        <v/>
      </c>
      <c r="CD12" s="141" t="str">
        <f aca="false">IF(B12="","",IF(COUNT(CA12:CC12)=0,"",ROUND(AVERAGE(CA12:CC12),0)))</f>
        <v/>
      </c>
    </row>
    <row r="13" customFormat="false" ht="12.75" hidden="false" customHeight="false" outlineLevel="0" collapsed="false">
      <c r="A13" s="130" t="n">
        <v>4</v>
      </c>
      <c r="B13" s="131" t="n">
        <f aca="false">'Datos '!D11</f>
        <v>0</v>
      </c>
      <c r="C13" s="143"/>
      <c r="D13" s="143"/>
      <c r="E13" s="143"/>
      <c r="F13" s="143"/>
      <c r="G13" s="143"/>
      <c r="H13" s="144"/>
      <c r="I13" s="134" t="str">
        <f aca="false">IF(BD13="","",IF(BD13=3,"AD",IF(BD13=2, "A",IF(BD13= 1, "B",IF(BD13= 0, "C")))))</f>
        <v/>
      </c>
      <c r="J13" s="145"/>
      <c r="K13" s="143"/>
      <c r="L13" s="143"/>
      <c r="M13" s="143"/>
      <c r="N13" s="143"/>
      <c r="O13" s="143"/>
      <c r="P13" s="134" t="str">
        <f aca="false">IF(BJ13="","",IF(BJ13=3,"AD",IF(BJ13=2, "A",IF(BJ13= 1, "B",IF(BJ13= 0, "C")))))</f>
        <v/>
      </c>
      <c r="Q13" s="145"/>
      <c r="R13" s="143"/>
      <c r="S13" s="143"/>
      <c r="T13" s="143"/>
      <c r="U13" s="143"/>
      <c r="V13" s="134" t="str">
        <f aca="false">IF(BO13="","",IF(BO13=3,"AD",IF(BO13=2, "A",IF(BO13= 1, "B",IF(BO13= 0, "C")))))</f>
        <v/>
      </c>
      <c r="W13" s="145"/>
      <c r="X13" s="143"/>
      <c r="Y13" s="143"/>
      <c r="Z13" s="143"/>
      <c r="AA13" s="143"/>
      <c r="AB13" s="134" t="str">
        <f aca="false">IF(BT13="","",IF(BT13=3,"AD",IF(BT13=2, "A",IF(BT13= 1, "B",IF(BT13= 0, "C")))))</f>
        <v/>
      </c>
      <c r="AC13" s="146"/>
      <c r="AD13" s="147" t="str">
        <f aca="false">IF(BU13="","",IF(BU13=3,"AD",IF(BU13=2, "A",IF(BU13= 1, "B",IF(BU13= 0, "C")))))</f>
        <v/>
      </c>
      <c r="AE13" s="143"/>
      <c r="AF13" s="143"/>
      <c r="AG13" s="143"/>
      <c r="AH13" s="143"/>
      <c r="AI13" s="138" t="str">
        <f aca="false">IF(BZ13="","",IF(BZ13=3,"AD",IF(BZ13=2, "A",IF(BZ13= 1, "B",IF(BZ13= 0, "C")))))</f>
        <v/>
      </c>
      <c r="AJ13" s="143"/>
      <c r="AK13" s="143"/>
      <c r="AL13" s="143"/>
      <c r="AM13" s="138" t="str">
        <f aca="false">IF(CD13="","",IF(CD13=3,"AD",IF(CD13=2, "A",IF(CD13= 1, "B",IF(CD13= 0, "C")))))</f>
        <v/>
      </c>
      <c r="AN13" s="148" t="str">
        <f aca="false">IF(AD13="","No presenta evidencias para su calificación",IF(AD13="AD","Demuestra aprendizaje que van más allá del nivel esperado",IF(AD13="A","Demuestra manejo satisfactorio en todas las tareas propuestas",IF(AD13="B","Está próximo al nivel esperado para lo cual requiere acompañamiento durante un tiempo razonable",IF(AD13= "C","No logro el desarrollo de las competencias",)))))</f>
        <v>No presenta evidencias para su calificación</v>
      </c>
      <c r="AO13" s="148"/>
      <c r="AP13" s="148"/>
      <c r="AQ13" s="148"/>
      <c r="AR13" s="148"/>
      <c r="AS13" s="148"/>
      <c r="AT13" s="148"/>
      <c r="AU13" s="148"/>
      <c r="AV13" s="148"/>
      <c r="AX13" s="140" t="str">
        <f aca="false">IF(C13="","",IF(C13="AD",3,IF(C13="A",2,IF(C13="B",1,IF(C13="C",0)))))</f>
        <v/>
      </c>
      <c r="AY13" s="140" t="str">
        <f aca="false">IF(D13="","",IF(D13="AD",3,IF(D13="A",2,IF(D13="B",1,IF(D13="C",0)))))</f>
        <v/>
      </c>
      <c r="AZ13" s="140" t="str">
        <f aca="false">IF(E13="","",IF(E13="AD",3,IF(E13="A",2,IF(E13="B",1,IF(E13="C",0)))))</f>
        <v/>
      </c>
      <c r="BA13" s="140" t="str">
        <f aca="false">IF(F13="","",IF(F13="AD",3,IF(F13="A",2,IF(F13="B",1,IF(F13="C",0)))))</f>
        <v/>
      </c>
      <c r="BB13" s="140" t="str">
        <f aca="false">IF(G13="","",IF(G13="AD",3,IF(G13="A",2,IF(G13="B",1,IF(G13="C",0)))))</f>
        <v/>
      </c>
      <c r="BC13" s="140" t="str">
        <f aca="false">IF(H13="","",IF(H13="AD",3,IF(H13="A",2,IF(H13="B",1,IF(H13="C",0)))))</f>
        <v/>
      </c>
      <c r="BD13" s="141" t="str">
        <f aca="false">IF(B13="","",IF(COUNT(AX13:BC13)=0,"",ROUND(AVERAGE(AX13:BC13),0)))</f>
        <v/>
      </c>
      <c r="BE13" s="140" t="str">
        <f aca="false">IF(K13="","",IF(K13="AD",3,IF(K13="A",2,IF(K13="B",1,IF(K13="C",0)))))</f>
        <v/>
      </c>
      <c r="BF13" s="140" t="str">
        <f aca="false">IF(L13="","",IF(L13="AD",3,IF(L13="A",2,IF(L13="B",1,IF(L13="C",0)))))</f>
        <v/>
      </c>
      <c r="BG13" s="140" t="str">
        <f aca="false">IF(M13="","",IF(M13="AD",3,IF(M13="A",2,IF(M13="B",1,IF(M13="C",0)))))</f>
        <v/>
      </c>
      <c r="BH13" s="140" t="str">
        <f aca="false">IF(N13="","",IF(N13="AD",3,IF(N13="A",2,IF(N13="B",1,IF(N13="C",0)))))</f>
        <v/>
      </c>
      <c r="BI13" s="140" t="str">
        <f aca="false">IF(O13="","",IF(O13="AD",3,IF(O13="A",2,IF(O13="B",1,IF(O13="C",0)))))</f>
        <v/>
      </c>
      <c r="BJ13" s="141" t="str">
        <f aca="false">IF(B13="","",IF(COUNT(BE13:BI13)=0,"",ROUND(AVERAGE(BE13:BI13),0)))</f>
        <v/>
      </c>
      <c r="BK13" s="140" t="str">
        <f aca="false">IF(R13="","",IF(R13="AD",3,IF(R13="A",2,IF(R13="B",1,IF(R13="C",0)))))</f>
        <v/>
      </c>
      <c r="BL13" s="140" t="str">
        <f aca="false">IF(S13="","",IF(S13="AD",3,IF(S13="A",2,IF(S13="B",1,IF(S13="C",0)))))</f>
        <v/>
      </c>
      <c r="BM13" s="140" t="str">
        <f aca="false">IF(T13="","",IF(T13="AD",3,IF(T13="A",2,IF(T13="B",1,IF(T13="C",0)))))</f>
        <v/>
      </c>
      <c r="BN13" s="140" t="str">
        <f aca="false">IF(U13="","",IF(U13="AD",3,IF(U13="A",2,IF(U13="B",1,IF(U13="C",0)))))</f>
        <v/>
      </c>
      <c r="BO13" s="141" t="str">
        <f aca="false">IF(B13="","",IF(COUNT(BK13:BN13)=0,"",ROUND(AVERAGE(BK13:BN13),0)))</f>
        <v/>
      </c>
      <c r="BP13" s="140" t="str">
        <f aca="false">IF(X13="","",IF(X13="AD",3,IF(X13="A",2,IF(X13="B",1,IF(X13="C",0)))))</f>
        <v/>
      </c>
      <c r="BQ13" s="140" t="str">
        <f aca="false">IF(Y13="","",IF(Y13="AD",3,IF(Y13="A",2,IF(Y13="B",1,IF(Y13="C",0)))))</f>
        <v/>
      </c>
      <c r="BR13" s="140" t="str">
        <f aca="false">IF(Z13="","",IF(Z13="AD",3,IF(Z13="A",2,IF(Z13="B",1,IF(Z13="C",0)))))</f>
        <v/>
      </c>
      <c r="BS13" s="140" t="str">
        <f aca="false">IF(AA13="","",IF(AA13="AD",3,IF(AA13="A",2,IF(AA13="B",1,IF(AA13="C",0)))))</f>
        <v/>
      </c>
      <c r="BT13" s="141" t="str">
        <f aca="false">IF(B13="","",IF(COUNT(BP13:BS13)=0,"",ROUND(AVERAGE(BP13:BS13),0)))</f>
        <v/>
      </c>
      <c r="BU13" s="142" t="str">
        <f aca="false">IF(ISERROR(AVERAGE(BD13,BJ13,BO13,BT13)),"",ROUND(AVERAGE(BD13,BJ13,BO13,BT13),0))</f>
        <v/>
      </c>
      <c r="BV13" s="140" t="str">
        <f aca="false">IF(AE13="","",IF(AE13="AD",3,IF(AE13="A",2,IF(AE13="B",1,IF(AE13="C",0)))))</f>
        <v/>
      </c>
      <c r="BW13" s="140" t="str">
        <f aca="false">IF(AF13="","",IF(AF13="AD",3,IF(AF13="A",2,IF(AF13="B",1,IF(AF13="C",0)))))</f>
        <v/>
      </c>
      <c r="BX13" s="140" t="str">
        <f aca="false">IF(AG13="","",IF(AG13="AD",3,IF(AG13="A",2,IF(AG13="B",1,IF(AG13="C",0)))))</f>
        <v/>
      </c>
      <c r="BY13" s="140" t="str">
        <f aca="false">IF(AH13="","",IF(AH13="AD",3,IF(AH13="A",2,IF(AH13="B",1,IF(AH13="C",0)))))</f>
        <v/>
      </c>
      <c r="BZ13" s="141" t="str">
        <f aca="false">IF(B13="","",IF(COUNT(BV13:BY13)=0,"",ROUND(AVERAGE(BV13:BY13),0)))</f>
        <v/>
      </c>
      <c r="CA13" s="140" t="str">
        <f aca="false">IF(AJ13="","",IF(AJ13="AD",3,IF(AJ13="A",2,IF(AJ13="B",1,IF(AJ13="C",0)))))</f>
        <v/>
      </c>
      <c r="CB13" s="140" t="str">
        <f aca="false">IF(AK13="","",IF(AK13="AD",3,IF(AK13="A",2,IF(AK13="B",1,IF(AK13="C",0)))))</f>
        <v/>
      </c>
      <c r="CC13" s="140" t="str">
        <f aca="false">IF(AL13="","",IF(AL13="AD",3,IF(AL13="A",2,IF(AL13="B",1,IF(AL13="C",0)))))</f>
        <v/>
      </c>
      <c r="CD13" s="141" t="str">
        <f aca="false">IF(B13="","",IF(COUNT(CA13:CC13)=0,"",ROUND(AVERAGE(CA13:CC13),0)))</f>
        <v/>
      </c>
    </row>
    <row r="14" customFormat="false" ht="12.75" hidden="false" customHeight="false" outlineLevel="0" collapsed="false">
      <c r="A14" s="130" t="n">
        <v>5</v>
      </c>
      <c r="B14" s="131" t="n">
        <f aca="false">'Datos '!D12</f>
        <v>0</v>
      </c>
      <c r="C14" s="143"/>
      <c r="D14" s="143"/>
      <c r="E14" s="143"/>
      <c r="F14" s="143"/>
      <c r="G14" s="143"/>
      <c r="H14" s="144"/>
      <c r="I14" s="134" t="str">
        <f aca="false">IF(BD14="","",IF(BD14=3,"AD",IF(BD14=2, "A",IF(BD14= 1, "B",IF(BD14= 0, "C")))))</f>
        <v/>
      </c>
      <c r="J14" s="145"/>
      <c r="K14" s="143"/>
      <c r="L14" s="143"/>
      <c r="M14" s="143"/>
      <c r="N14" s="143"/>
      <c r="O14" s="143"/>
      <c r="P14" s="134" t="str">
        <f aca="false">IF(BJ14="","",IF(BJ14=3,"AD",IF(BJ14=2, "A",IF(BJ14= 1, "B",IF(BJ14= 0, "C")))))</f>
        <v/>
      </c>
      <c r="Q14" s="145"/>
      <c r="R14" s="143"/>
      <c r="S14" s="143"/>
      <c r="T14" s="143"/>
      <c r="U14" s="143"/>
      <c r="V14" s="134" t="str">
        <f aca="false">IF(BO14="","",IF(BO14=3,"AD",IF(BO14=2, "A",IF(BO14= 1, "B",IF(BO14= 0, "C")))))</f>
        <v/>
      </c>
      <c r="W14" s="145"/>
      <c r="X14" s="143"/>
      <c r="Y14" s="143"/>
      <c r="Z14" s="143"/>
      <c r="AA14" s="143"/>
      <c r="AB14" s="134" t="str">
        <f aca="false">IF(BT14="","",IF(BT14=3,"AD",IF(BT14=2, "A",IF(BT14= 1, "B",IF(BT14= 0, "C")))))</f>
        <v/>
      </c>
      <c r="AC14" s="146"/>
      <c r="AD14" s="147" t="str">
        <f aca="false">IF(BU14="","",IF(BU14=3,"AD",IF(BU14=2, "A",IF(BU14= 1, "B",IF(BU14= 0, "C")))))</f>
        <v/>
      </c>
      <c r="AE14" s="143"/>
      <c r="AF14" s="143"/>
      <c r="AG14" s="143"/>
      <c r="AH14" s="143"/>
      <c r="AI14" s="138" t="str">
        <f aca="false">IF(BZ14="","",IF(BZ14=3,"AD",IF(BZ14=2, "A",IF(BZ14= 1, "B",IF(BZ14= 0, "C")))))</f>
        <v/>
      </c>
      <c r="AJ14" s="143"/>
      <c r="AK14" s="143"/>
      <c r="AL14" s="143"/>
      <c r="AM14" s="138" t="str">
        <f aca="false">IF(CD14="","",IF(CD14=3,"AD",IF(CD14=2, "A",IF(CD14= 1, "B",IF(CD14= 0, "C")))))</f>
        <v/>
      </c>
      <c r="AN14" s="148" t="str">
        <f aca="false">IF(AD14="","No presenta evidencias para su calificación",IF(AD14="AD","Demuestra aprendizaje que van más allá del nivel esperado",IF(AD14="A","Demuestra manejo satisfactorio en todas las tareas propuestas",IF(AD14="B","Está próximo al nivel esperado para lo cual requiere acompañamiento durante un tiempo razonable",IF(AD14= "C","No logro el desarrollo de las competencias",)))))</f>
        <v>No presenta evidencias para su calificación</v>
      </c>
      <c r="AO14" s="148"/>
      <c r="AP14" s="148"/>
      <c r="AQ14" s="148"/>
      <c r="AR14" s="148"/>
      <c r="AS14" s="148"/>
      <c r="AT14" s="148"/>
      <c r="AU14" s="148"/>
      <c r="AV14" s="148"/>
      <c r="AX14" s="140" t="str">
        <f aca="false">IF(C14="","",IF(C14="AD",3,IF(C14="A",2,IF(C14="B",1,IF(C14="C",0)))))</f>
        <v/>
      </c>
      <c r="AY14" s="140" t="str">
        <f aca="false">IF(D14="","",IF(D14="AD",3,IF(D14="A",2,IF(D14="B",1,IF(D14="C",0)))))</f>
        <v/>
      </c>
      <c r="AZ14" s="140" t="str">
        <f aca="false">IF(E14="","",IF(E14="AD",3,IF(E14="A",2,IF(E14="B",1,IF(E14="C",0)))))</f>
        <v/>
      </c>
      <c r="BA14" s="140" t="str">
        <f aca="false">IF(F14="","",IF(F14="AD",3,IF(F14="A",2,IF(F14="B",1,IF(F14="C",0)))))</f>
        <v/>
      </c>
      <c r="BB14" s="140" t="str">
        <f aca="false">IF(G14="","",IF(G14="AD",3,IF(G14="A",2,IF(G14="B",1,IF(G14="C",0)))))</f>
        <v/>
      </c>
      <c r="BC14" s="140" t="str">
        <f aca="false">IF(H14="","",IF(H14="AD",3,IF(H14="A",2,IF(H14="B",1,IF(H14="C",0)))))</f>
        <v/>
      </c>
      <c r="BD14" s="141" t="str">
        <f aca="false">IF(B14="","",IF(COUNT(AX14:BC14)=0,"",ROUND(AVERAGE(AX14:BC14),0)))</f>
        <v/>
      </c>
      <c r="BE14" s="140" t="str">
        <f aca="false">IF(K14="","",IF(K14="AD",3,IF(K14="A",2,IF(K14="B",1,IF(K14="C",0)))))</f>
        <v/>
      </c>
      <c r="BF14" s="140" t="str">
        <f aca="false">IF(L14="","",IF(L14="AD",3,IF(L14="A",2,IF(L14="B",1,IF(L14="C",0)))))</f>
        <v/>
      </c>
      <c r="BG14" s="140" t="str">
        <f aca="false">IF(M14="","",IF(M14="AD",3,IF(M14="A",2,IF(M14="B",1,IF(M14="C",0)))))</f>
        <v/>
      </c>
      <c r="BH14" s="140" t="str">
        <f aca="false">IF(N14="","",IF(N14="AD",3,IF(N14="A",2,IF(N14="B",1,IF(N14="C",0)))))</f>
        <v/>
      </c>
      <c r="BI14" s="140" t="str">
        <f aca="false">IF(O14="","",IF(O14="AD",3,IF(O14="A",2,IF(O14="B",1,IF(O14="C",0)))))</f>
        <v/>
      </c>
      <c r="BJ14" s="141" t="str">
        <f aca="false">IF(B14="","",IF(COUNT(BE14:BI14)=0,"",ROUND(AVERAGE(BE14:BI14),0)))</f>
        <v/>
      </c>
      <c r="BK14" s="140" t="str">
        <f aca="false">IF(R14="","",IF(R14="AD",3,IF(R14="A",2,IF(R14="B",1,IF(R14="C",0)))))</f>
        <v/>
      </c>
      <c r="BL14" s="140" t="str">
        <f aca="false">IF(S14="","",IF(S14="AD",3,IF(S14="A",2,IF(S14="B",1,IF(S14="C",0)))))</f>
        <v/>
      </c>
      <c r="BM14" s="140" t="str">
        <f aca="false">IF(T14="","",IF(T14="AD",3,IF(T14="A",2,IF(T14="B",1,IF(T14="C",0)))))</f>
        <v/>
      </c>
      <c r="BN14" s="140" t="str">
        <f aca="false">IF(U14="","",IF(U14="AD",3,IF(U14="A",2,IF(U14="B",1,IF(U14="C",0)))))</f>
        <v/>
      </c>
      <c r="BO14" s="141" t="str">
        <f aca="false">IF(B14="","",IF(COUNT(BK14:BN14)=0,"",ROUND(AVERAGE(BK14:BN14),0)))</f>
        <v/>
      </c>
      <c r="BP14" s="140" t="str">
        <f aca="false">IF(X14="","",IF(X14="AD",3,IF(X14="A",2,IF(X14="B",1,IF(X14="C",0)))))</f>
        <v/>
      </c>
      <c r="BQ14" s="140" t="str">
        <f aca="false">IF(Y14="","",IF(Y14="AD",3,IF(Y14="A",2,IF(Y14="B",1,IF(Y14="C",0)))))</f>
        <v/>
      </c>
      <c r="BR14" s="140" t="str">
        <f aca="false">IF(Z14="","",IF(Z14="AD",3,IF(Z14="A",2,IF(Z14="B",1,IF(Z14="C",0)))))</f>
        <v/>
      </c>
      <c r="BS14" s="140" t="str">
        <f aca="false">IF(AA14="","",IF(AA14="AD",3,IF(AA14="A",2,IF(AA14="B",1,IF(AA14="C",0)))))</f>
        <v/>
      </c>
      <c r="BT14" s="141" t="str">
        <f aca="false">IF(B14="","",IF(COUNT(BP14:BS14)=0,"",ROUND(AVERAGE(BP14:BS14),0)))</f>
        <v/>
      </c>
      <c r="BU14" s="142" t="str">
        <f aca="false">IF(ISERROR(AVERAGE(BD14,BJ14,BO14,BT14)),"",ROUND(AVERAGE(BD14,BJ14,BO14,BT14),0))</f>
        <v/>
      </c>
      <c r="BV14" s="140" t="str">
        <f aca="false">IF(AE14="","",IF(AE14="AD",3,IF(AE14="A",2,IF(AE14="B",1,IF(AE14="C",0)))))</f>
        <v/>
      </c>
      <c r="BW14" s="140" t="str">
        <f aca="false">IF(AF14="","",IF(AF14="AD",3,IF(AF14="A",2,IF(AF14="B",1,IF(AF14="C",0)))))</f>
        <v/>
      </c>
      <c r="BX14" s="140" t="str">
        <f aca="false">IF(AG14="","",IF(AG14="AD",3,IF(AG14="A",2,IF(AG14="B",1,IF(AG14="C",0)))))</f>
        <v/>
      </c>
      <c r="BY14" s="140" t="str">
        <f aca="false">IF(AH14="","",IF(AH14="AD",3,IF(AH14="A",2,IF(AH14="B",1,IF(AH14="C",0)))))</f>
        <v/>
      </c>
      <c r="BZ14" s="141" t="str">
        <f aca="false">IF(B14="","",IF(COUNT(BV14:BY14)=0,"",ROUND(AVERAGE(BV14:BY14),0)))</f>
        <v/>
      </c>
      <c r="CA14" s="140" t="str">
        <f aca="false">IF(AJ14="","",IF(AJ14="AD",3,IF(AJ14="A",2,IF(AJ14="B",1,IF(AJ14="C",0)))))</f>
        <v/>
      </c>
      <c r="CB14" s="140" t="str">
        <f aca="false">IF(AK14="","",IF(AK14="AD",3,IF(AK14="A",2,IF(AK14="B",1,IF(AK14="C",0)))))</f>
        <v/>
      </c>
      <c r="CC14" s="140" t="str">
        <f aca="false">IF(AL14="","",IF(AL14="AD",3,IF(AL14="A",2,IF(AL14="B",1,IF(AL14="C",0)))))</f>
        <v/>
      </c>
      <c r="CD14" s="141" t="str">
        <f aca="false">IF(B14="","",IF(COUNT(CA14:CC14)=0,"",ROUND(AVERAGE(CA14:CC14),0)))</f>
        <v/>
      </c>
    </row>
    <row r="15" customFormat="false" ht="12.75" hidden="false" customHeight="false" outlineLevel="0" collapsed="false">
      <c r="A15" s="130" t="n">
        <v>6</v>
      </c>
      <c r="B15" s="131" t="n">
        <f aca="false">'Datos '!D13</f>
        <v>0</v>
      </c>
      <c r="C15" s="143"/>
      <c r="D15" s="143"/>
      <c r="E15" s="143"/>
      <c r="F15" s="143"/>
      <c r="G15" s="143"/>
      <c r="H15" s="144"/>
      <c r="I15" s="134" t="str">
        <f aca="false">IF(BD15="","",IF(BD15=3,"AD",IF(BD15=2, "A",IF(BD15= 1, "B",IF(BD15= 0, "C")))))</f>
        <v/>
      </c>
      <c r="J15" s="145"/>
      <c r="K15" s="143"/>
      <c r="L15" s="143"/>
      <c r="M15" s="143"/>
      <c r="N15" s="143"/>
      <c r="O15" s="143"/>
      <c r="P15" s="134" t="str">
        <f aca="false">IF(BJ15="","",IF(BJ15=3,"AD",IF(BJ15=2, "A",IF(BJ15= 1, "B",IF(BJ15= 0, "C")))))</f>
        <v/>
      </c>
      <c r="Q15" s="145"/>
      <c r="R15" s="143"/>
      <c r="S15" s="143"/>
      <c r="T15" s="143"/>
      <c r="U15" s="143"/>
      <c r="V15" s="134" t="str">
        <f aca="false">IF(BO15="","",IF(BO15=3,"AD",IF(BO15=2, "A",IF(BO15= 1, "B",IF(BO15= 0, "C")))))</f>
        <v/>
      </c>
      <c r="W15" s="145"/>
      <c r="X15" s="143"/>
      <c r="Y15" s="143"/>
      <c r="Z15" s="143"/>
      <c r="AA15" s="143"/>
      <c r="AB15" s="134" t="str">
        <f aca="false">IF(BT15="","",IF(BT15=3,"AD",IF(BT15=2, "A",IF(BT15= 1, "B",IF(BT15= 0, "C")))))</f>
        <v/>
      </c>
      <c r="AC15" s="146"/>
      <c r="AD15" s="147" t="str">
        <f aca="false">IF(BU15="","",IF(BU15=3,"AD",IF(BU15=2, "A",IF(BU15= 1, "B",IF(BU15= 0, "C")))))</f>
        <v/>
      </c>
      <c r="AE15" s="143"/>
      <c r="AF15" s="143"/>
      <c r="AG15" s="143"/>
      <c r="AH15" s="143"/>
      <c r="AI15" s="138" t="str">
        <f aca="false">IF(BZ15="","",IF(BZ15=3,"AD",IF(BZ15=2, "A",IF(BZ15= 1, "B",IF(BZ15= 0, "C")))))</f>
        <v/>
      </c>
      <c r="AJ15" s="143"/>
      <c r="AK15" s="143"/>
      <c r="AL15" s="143"/>
      <c r="AM15" s="138" t="str">
        <f aca="false">IF(CD15="","",IF(CD15=3,"AD",IF(CD15=2, "A",IF(CD15= 1, "B",IF(CD15= 0, "C")))))</f>
        <v/>
      </c>
      <c r="AN15" s="148" t="str">
        <f aca="false">IF(AD15="","No presenta evidencias para su calificación",IF(AD15="AD","Demuestra aprendizaje que van más allá del nivel esperado",IF(AD15="A","Demuestra manejo satisfactorio en todas las tareas propuestas",IF(AD15="B","Está próximo al nivel esperado para lo cual requiere acompañamiento durante un tiempo razonable",IF(AD15= "C","No logro el desarrollo de las competencias",)))))</f>
        <v>No presenta evidencias para su calificación</v>
      </c>
      <c r="AO15" s="148"/>
      <c r="AP15" s="148"/>
      <c r="AQ15" s="148"/>
      <c r="AR15" s="148"/>
      <c r="AS15" s="148"/>
      <c r="AT15" s="148"/>
      <c r="AU15" s="148"/>
      <c r="AV15" s="148"/>
      <c r="AX15" s="140" t="str">
        <f aca="false">IF(C15="","",IF(C15="AD",3,IF(C15="A",2,IF(C15="B",1,IF(C15="C",0)))))</f>
        <v/>
      </c>
      <c r="AY15" s="140" t="str">
        <f aca="false">IF(D15="","",IF(D15="AD",3,IF(D15="A",2,IF(D15="B",1,IF(D15="C",0)))))</f>
        <v/>
      </c>
      <c r="AZ15" s="140" t="str">
        <f aca="false">IF(E15="","",IF(E15="AD",3,IF(E15="A",2,IF(E15="B",1,IF(E15="C",0)))))</f>
        <v/>
      </c>
      <c r="BA15" s="140" t="str">
        <f aca="false">IF(F15="","",IF(F15="AD",3,IF(F15="A",2,IF(F15="B",1,IF(F15="C",0)))))</f>
        <v/>
      </c>
      <c r="BB15" s="140" t="str">
        <f aca="false">IF(G15="","",IF(G15="AD",3,IF(G15="A",2,IF(G15="B",1,IF(G15="C",0)))))</f>
        <v/>
      </c>
      <c r="BC15" s="140" t="str">
        <f aca="false">IF(H15="","",IF(H15="AD",3,IF(H15="A",2,IF(H15="B",1,IF(H15="C",0)))))</f>
        <v/>
      </c>
      <c r="BD15" s="141" t="str">
        <f aca="false">IF(B15="","",IF(COUNT(AX15:BC15)=0,"",ROUND(AVERAGE(AX15:BC15),0)))</f>
        <v/>
      </c>
      <c r="BE15" s="140" t="str">
        <f aca="false">IF(K15="","",IF(K15="AD",3,IF(K15="A",2,IF(K15="B",1,IF(K15="C",0)))))</f>
        <v/>
      </c>
      <c r="BF15" s="140" t="str">
        <f aca="false">IF(L15="","",IF(L15="AD",3,IF(L15="A",2,IF(L15="B",1,IF(L15="C",0)))))</f>
        <v/>
      </c>
      <c r="BG15" s="140" t="str">
        <f aca="false">IF(M15="","",IF(M15="AD",3,IF(M15="A",2,IF(M15="B",1,IF(M15="C",0)))))</f>
        <v/>
      </c>
      <c r="BH15" s="140" t="str">
        <f aca="false">IF(N15="","",IF(N15="AD",3,IF(N15="A",2,IF(N15="B",1,IF(N15="C",0)))))</f>
        <v/>
      </c>
      <c r="BI15" s="140" t="str">
        <f aca="false">IF(O15="","",IF(O15="AD",3,IF(O15="A",2,IF(O15="B",1,IF(O15="C",0)))))</f>
        <v/>
      </c>
      <c r="BJ15" s="141" t="str">
        <f aca="false">IF(B15="","",IF(COUNT(BE15:BI15)=0,"",ROUND(AVERAGE(BE15:BI15),0)))</f>
        <v/>
      </c>
      <c r="BK15" s="140" t="str">
        <f aca="false">IF(R15="","",IF(R15="AD",3,IF(R15="A",2,IF(R15="B",1,IF(R15="C",0)))))</f>
        <v/>
      </c>
      <c r="BL15" s="140" t="str">
        <f aca="false">IF(S15="","",IF(S15="AD",3,IF(S15="A",2,IF(S15="B",1,IF(S15="C",0)))))</f>
        <v/>
      </c>
      <c r="BM15" s="140" t="str">
        <f aca="false">IF(T15="","",IF(T15="AD",3,IF(T15="A",2,IF(T15="B",1,IF(T15="C",0)))))</f>
        <v/>
      </c>
      <c r="BN15" s="140" t="str">
        <f aca="false">IF(U15="","",IF(U15="AD",3,IF(U15="A",2,IF(U15="B",1,IF(U15="C",0)))))</f>
        <v/>
      </c>
      <c r="BO15" s="141" t="str">
        <f aca="false">IF(B15="","",IF(COUNT(BK15:BN15)=0,"",ROUND(AVERAGE(BK15:BN15),0)))</f>
        <v/>
      </c>
      <c r="BP15" s="140" t="str">
        <f aca="false">IF(X15="","",IF(X15="AD",3,IF(X15="A",2,IF(X15="B",1,IF(X15="C",0)))))</f>
        <v/>
      </c>
      <c r="BQ15" s="140" t="str">
        <f aca="false">IF(Y15="","",IF(Y15="AD",3,IF(Y15="A",2,IF(Y15="B",1,IF(Y15="C",0)))))</f>
        <v/>
      </c>
      <c r="BR15" s="140" t="str">
        <f aca="false">IF(Z15="","",IF(Z15="AD",3,IF(Z15="A",2,IF(Z15="B",1,IF(Z15="C",0)))))</f>
        <v/>
      </c>
      <c r="BS15" s="140" t="str">
        <f aca="false">IF(AA15="","",IF(AA15="AD",3,IF(AA15="A",2,IF(AA15="B",1,IF(AA15="C",0)))))</f>
        <v/>
      </c>
      <c r="BT15" s="141" t="str">
        <f aca="false">IF(B15="","",IF(COUNT(BP15:BS15)=0,"",ROUND(AVERAGE(BP15:BS15),0)))</f>
        <v/>
      </c>
      <c r="BU15" s="142" t="str">
        <f aca="false">IF(ISERROR(AVERAGE(BD15,BJ15,BO15,BT15)),"",ROUND(AVERAGE(BD15,BJ15,BO15,BT15),0))</f>
        <v/>
      </c>
      <c r="BV15" s="140" t="str">
        <f aca="false">IF(AE15="","",IF(AE15="AD",3,IF(AE15="A",2,IF(AE15="B",1,IF(AE15="C",0)))))</f>
        <v/>
      </c>
      <c r="BW15" s="140" t="str">
        <f aca="false">IF(AF15="","",IF(AF15="AD",3,IF(AF15="A",2,IF(AF15="B",1,IF(AF15="C",0)))))</f>
        <v/>
      </c>
      <c r="BX15" s="140" t="str">
        <f aca="false">IF(AG15="","",IF(AG15="AD",3,IF(AG15="A",2,IF(AG15="B",1,IF(AG15="C",0)))))</f>
        <v/>
      </c>
      <c r="BY15" s="140" t="str">
        <f aca="false">IF(AH15="","",IF(AH15="AD",3,IF(AH15="A",2,IF(AH15="B",1,IF(AH15="C",0)))))</f>
        <v/>
      </c>
      <c r="BZ15" s="141" t="str">
        <f aca="false">IF(B15="","",IF(COUNT(BV15:BY15)=0,"",ROUND(AVERAGE(BV15:BY15),0)))</f>
        <v/>
      </c>
      <c r="CA15" s="140" t="str">
        <f aca="false">IF(AJ15="","",IF(AJ15="AD",3,IF(AJ15="A",2,IF(AJ15="B",1,IF(AJ15="C",0)))))</f>
        <v/>
      </c>
      <c r="CB15" s="140" t="str">
        <f aca="false">IF(AK15="","",IF(AK15="AD",3,IF(AK15="A",2,IF(AK15="B",1,IF(AK15="C",0)))))</f>
        <v/>
      </c>
      <c r="CC15" s="140" t="str">
        <f aca="false">IF(AL15="","",IF(AL15="AD",3,IF(AL15="A",2,IF(AL15="B",1,IF(AL15="C",0)))))</f>
        <v/>
      </c>
      <c r="CD15" s="141" t="str">
        <f aca="false">IF(B15="","",IF(COUNT(CA15:CC15)=0,"",ROUND(AVERAGE(CA15:CC15),0)))</f>
        <v/>
      </c>
    </row>
    <row r="16" customFormat="false" ht="12.75" hidden="false" customHeight="false" outlineLevel="0" collapsed="false">
      <c r="A16" s="130" t="n">
        <v>7</v>
      </c>
      <c r="B16" s="131" t="n">
        <f aca="false">'Datos '!D14</f>
        <v>0</v>
      </c>
      <c r="C16" s="143"/>
      <c r="D16" s="143"/>
      <c r="E16" s="143"/>
      <c r="F16" s="143"/>
      <c r="G16" s="143"/>
      <c r="H16" s="144"/>
      <c r="I16" s="134" t="str">
        <f aca="false">IF(BD16="","",IF(BD16=3,"AD",IF(BD16=2, "A",IF(BD16= 1, "B",IF(BD16= 0, "C")))))</f>
        <v/>
      </c>
      <c r="J16" s="145"/>
      <c r="K16" s="143"/>
      <c r="L16" s="143"/>
      <c r="M16" s="143"/>
      <c r="N16" s="143"/>
      <c r="O16" s="143"/>
      <c r="P16" s="134" t="str">
        <f aca="false">IF(BJ16="","",IF(BJ16=3,"AD",IF(BJ16=2, "A",IF(BJ16= 1, "B",IF(BJ16= 0, "C")))))</f>
        <v/>
      </c>
      <c r="Q16" s="145"/>
      <c r="R16" s="143"/>
      <c r="S16" s="143"/>
      <c r="T16" s="143"/>
      <c r="U16" s="143"/>
      <c r="V16" s="134" t="str">
        <f aca="false">IF(BO16="","",IF(BO16=3,"AD",IF(BO16=2, "A",IF(BO16= 1, "B",IF(BO16= 0, "C")))))</f>
        <v/>
      </c>
      <c r="W16" s="145"/>
      <c r="X16" s="143"/>
      <c r="Y16" s="143"/>
      <c r="Z16" s="143"/>
      <c r="AA16" s="143"/>
      <c r="AB16" s="134" t="str">
        <f aca="false">IF(BT16="","",IF(BT16=3,"AD",IF(BT16=2, "A",IF(BT16= 1, "B",IF(BT16= 0, "C")))))</f>
        <v/>
      </c>
      <c r="AC16" s="146"/>
      <c r="AD16" s="147" t="str">
        <f aca="false">IF(BU16="","",IF(BU16=3,"AD",IF(BU16=2, "A",IF(BU16= 1, "B",IF(BU16= 0, "C")))))</f>
        <v/>
      </c>
      <c r="AE16" s="143"/>
      <c r="AF16" s="143"/>
      <c r="AG16" s="143"/>
      <c r="AH16" s="143"/>
      <c r="AI16" s="138" t="str">
        <f aca="false">IF(BZ16="","",IF(BZ16=3,"AD",IF(BZ16=2, "A",IF(BZ16= 1, "B",IF(BZ16= 0, "C")))))</f>
        <v/>
      </c>
      <c r="AJ16" s="143"/>
      <c r="AK16" s="143"/>
      <c r="AL16" s="143"/>
      <c r="AM16" s="138" t="str">
        <f aca="false">IF(CD16="","",IF(CD16=3,"AD",IF(CD16=2, "A",IF(CD16= 1, "B",IF(CD16= 0, "C")))))</f>
        <v/>
      </c>
      <c r="AN16" s="148" t="str">
        <f aca="false">IF(AD16="","No presenta evidencias para su calificación",IF(AD16="AD","Demuestra aprendizaje que van más allá del nivel esperado",IF(AD16="A","Demuestra manejo satisfactorio en todas las tareas propuestas",IF(AD16="B","Está próximo al nivel esperado para lo cual requiere acompañamiento durante un tiempo razonable",IF(AD16= "C","No logro el desarrollo de las competencias",)))))</f>
        <v>No presenta evidencias para su calificación</v>
      </c>
      <c r="AO16" s="148"/>
      <c r="AP16" s="148"/>
      <c r="AQ16" s="148"/>
      <c r="AR16" s="148"/>
      <c r="AS16" s="148"/>
      <c r="AT16" s="148"/>
      <c r="AU16" s="148"/>
      <c r="AV16" s="148"/>
      <c r="AX16" s="140" t="str">
        <f aca="false">IF(C16="","",IF(C16="AD",3,IF(C16="A",2,IF(C16="B",1,IF(C16="C",0)))))</f>
        <v/>
      </c>
      <c r="AY16" s="140" t="str">
        <f aca="false">IF(D16="","",IF(D16="AD",3,IF(D16="A",2,IF(D16="B",1,IF(D16="C",0)))))</f>
        <v/>
      </c>
      <c r="AZ16" s="140" t="str">
        <f aca="false">IF(E16="","",IF(E16="AD",3,IF(E16="A",2,IF(E16="B",1,IF(E16="C",0)))))</f>
        <v/>
      </c>
      <c r="BA16" s="140" t="str">
        <f aca="false">IF(F16="","",IF(F16="AD",3,IF(F16="A",2,IF(F16="B",1,IF(F16="C",0)))))</f>
        <v/>
      </c>
      <c r="BB16" s="140" t="str">
        <f aca="false">IF(G16="","",IF(G16="AD",3,IF(G16="A",2,IF(G16="B",1,IF(G16="C",0)))))</f>
        <v/>
      </c>
      <c r="BC16" s="140" t="str">
        <f aca="false">IF(H16="","",IF(H16="AD",3,IF(H16="A",2,IF(H16="B",1,IF(H16="C",0)))))</f>
        <v/>
      </c>
      <c r="BD16" s="141" t="str">
        <f aca="false">IF(B16="","",IF(COUNT(AX16:BC16)=0,"",ROUND(AVERAGE(AX16:BC16),0)))</f>
        <v/>
      </c>
      <c r="BE16" s="140" t="str">
        <f aca="false">IF(K16="","",IF(K16="AD",3,IF(K16="A",2,IF(K16="B",1,IF(K16="C",0)))))</f>
        <v/>
      </c>
      <c r="BF16" s="140" t="str">
        <f aca="false">IF(L16="","",IF(L16="AD",3,IF(L16="A",2,IF(L16="B",1,IF(L16="C",0)))))</f>
        <v/>
      </c>
      <c r="BG16" s="140" t="str">
        <f aca="false">IF(M16="","",IF(M16="AD",3,IF(M16="A",2,IF(M16="B",1,IF(M16="C",0)))))</f>
        <v/>
      </c>
      <c r="BH16" s="140" t="str">
        <f aca="false">IF(N16="","",IF(N16="AD",3,IF(N16="A",2,IF(N16="B",1,IF(N16="C",0)))))</f>
        <v/>
      </c>
      <c r="BI16" s="140" t="str">
        <f aca="false">IF(O16="","",IF(O16="AD",3,IF(O16="A",2,IF(O16="B",1,IF(O16="C",0)))))</f>
        <v/>
      </c>
      <c r="BJ16" s="141" t="str">
        <f aca="false">IF(B16="","",IF(COUNT(BE16:BI16)=0,"",ROUND(AVERAGE(BE16:BI16),0)))</f>
        <v/>
      </c>
      <c r="BK16" s="140" t="str">
        <f aca="false">IF(R16="","",IF(R16="AD",3,IF(R16="A",2,IF(R16="B",1,IF(R16="C",0)))))</f>
        <v/>
      </c>
      <c r="BL16" s="140" t="str">
        <f aca="false">IF(S16="","",IF(S16="AD",3,IF(S16="A",2,IF(S16="B",1,IF(S16="C",0)))))</f>
        <v/>
      </c>
      <c r="BM16" s="140" t="str">
        <f aca="false">IF(T16="","",IF(T16="AD",3,IF(T16="A",2,IF(T16="B",1,IF(T16="C",0)))))</f>
        <v/>
      </c>
      <c r="BN16" s="140" t="str">
        <f aca="false">IF(U16="","",IF(U16="AD",3,IF(U16="A",2,IF(U16="B",1,IF(U16="C",0)))))</f>
        <v/>
      </c>
      <c r="BO16" s="141" t="str">
        <f aca="false">IF(B16="","",IF(COUNT(BK16:BN16)=0,"",ROUND(AVERAGE(BK16:BN16),0)))</f>
        <v/>
      </c>
      <c r="BP16" s="140" t="str">
        <f aca="false">IF(X16="","",IF(X16="AD",3,IF(X16="A",2,IF(X16="B",1,IF(X16="C",0)))))</f>
        <v/>
      </c>
      <c r="BQ16" s="140" t="str">
        <f aca="false">IF(Y16="","",IF(Y16="AD",3,IF(Y16="A",2,IF(Y16="B",1,IF(Y16="C",0)))))</f>
        <v/>
      </c>
      <c r="BR16" s="140" t="str">
        <f aca="false">IF(Z16="","",IF(Z16="AD",3,IF(Z16="A",2,IF(Z16="B",1,IF(Z16="C",0)))))</f>
        <v/>
      </c>
      <c r="BS16" s="140" t="str">
        <f aca="false">IF(AA16="","",IF(AA16="AD",3,IF(AA16="A",2,IF(AA16="B",1,IF(AA16="C",0)))))</f>
        <v/>
      </c>
      <c r="BT16" s="141" t="str">
        <f aca="false">IF(B16="","",IF(COUNT(BP16:BS16)=0,"",ROUND(AVERAGE(BP16:BS16),0)))</f>
        <v/>
      </c>
      <c r="BU16" s="142" t="str">
        <f aca="false">IF(ISERROR(AVERAGE(BD16,BJ16,BO16,BT16)),"",ROUND(AVERAGE(BD16,BJ16,BO16,BT16),0))</f>
        <v/>
      </c>
      <c r="BV16" s="140" t="str">
        <f aca="false">IF(AE16="","",IF(AE16="AD",3,IF(AE16="A",2,IF(AE16="B",1,IF(AE16="C",0)))))</f>
        <v/>
      </c>
      <c r="BW16" s="140" t="str">
        <f aca="false">IF(AF16="","",IF(AF16="AD",3,IF(AF16="A",2,IF(AF16="B",1,IF(AF16="C",0)))))</f>
        <v/>
      </c>
      <c r="BX16" s="140" t="str">
        <f aca="false">IF(AG16="","",IF(AG16="AD",3,IF(AG16="A",2,IF(AG16="B",1,IF(AG16="C",0)))))</f>
        <v/>
      </c>
      <c r="BY16" s="140" t="str">
        <f aca="false">IF(AH16="","",IF(AH16="AD",3,IF(AH16="A",2,IF(AH16="B",1,IF(AH16="C",0)))))</f>
        <v/>
      </c>
      <c r="BZ16" s="141" t="str">
        <f aca="false">IF(B16="","",IF(COUNT(BV16:BY16)=0,"",ROUND(AVERAGE(BV16:BY16),0)))</f>
        <v/>
      </c>
      <c r="CA16" s="140" t="str">
        <f aca="false">IF(AJ16="","",IF(AJ16="AD",3,IF(AJ16="A",2,IF(AJ16="B",1,IF(AJ16="C",0)))))</f>
        <v/>
      </c>
      <c r="CB16" s="140" t="str">
        <f aca="false">IF(AK16="","",IF(AK16="AD",3,IF(AK16="A",2,IF(AK16="B",1,IF(AK16="C",0)))))</f>
        <v/>
      </c>
      <c r="CC16" s="140" t="str">
        <f aca="false">IF(AL16="","",IF(AL16="AD",3,IF(AL16="A",2,IF(AL16="B",1,IF(AL16="C",0)))))</f>
        <v/>
      </c>
      <c r="CD16" s="141" t="str">
        <f aca="false">IF(B16="","",IF(COUNT(CA16:CC16)=0,"",ROUND(AVERAGE(CA16:CC16),0)))</f>
        <v/>
      </c>
    </row>
    <row r="17" customFormat="false" ht="12.75" hidden="false" customHeight="false" outlineLevel="0" collapsed="false">
      <c r="A17" s="130" t="n">
        <v>8</v>
      </c>
      <c r="B17" s="131" t="n">
        <f aca="false">'Datos '!D15</f>
        <v>0</v>
      </c>
      <c r="C17" s="143"/>
      <c r="D17" s="143"/>
      <c r="E17" s="143"/>
      <c r="F17" s="143"/>
      <c r="G17" s="143"/>
      <c r="H17" s="144"/>
      <c r="I17" s="134" t="str">
        <f aca="false">IF(BD17="","",IF(BD17=3,"AD",IF(BD17=2, "A",IF(BD17= 1, "B",IF(BD17= 0, "C")))))</f>
        <v/>
      </c>
      <c r="J17" s="145"/>
      <c r="K17" s="143"/>
      <c r="L17" s="143"/>
      <c r="M17" s="143"/>
      <c r="N17" s="143"/>
      <c r="O17" s="143"/>
      <c r="P17" s="134" t="str">
        <f aca="false">IF(BJ17="","",IF(BJ17=3,"AD",IF(BJ17=2, "A",IF(BJ17= 1, "B",IF(BJ17= 0, "C")))))</f>
        <v/>
      </c>
      <c r="Q17" s="145"/>
      <c r="R17" s="143"/>
      <c r="S17" s="143"/>
      <c r="T17" s="143"/>
      <c r="U17" s="143"/>
      <c r="V17" s="134" t="str">
        <f aca="false">IF(BO17="","",IF(BO17=3,"AD",IF(BO17=2, "A",IF(BO17= 1, "B",IF(BO17= 0, "C")))))</f>
        <v/>
      </c>
      <c r="W17" s="145"/>
      <c r="X17" s="143"/>
      <c r="Y17" s="143"/>
      <c r="Z17" s="143"/>
      <c r="AA17" s="143"/>
      <c r="AB17" s="134" t="str">
        <f aca="false">IF(BT17="","",IF(BT17=3,"AD",IF(BT17=2, "A",IF(BT17= 1, "B",IF(BT17= 0, "C")))))</f>
        <v/>
      </c>
      <c r="AC17" s="146"/>
      <c r="AD17" s="147" t="str">
        <f aca="false">IF(BU17="","",IF(BU17=3,"AD",IF(BU17=2, "A",IF(BU17= 1, "B",IF(BU17= 0, "C")))))</f>
        <v/>
      </c>
      <c r="AE17" s="143"/>
      <c r="AF17" s="143"/>
      <c r="AG17" s="143"/>
      <c r="AH17" s="143"/>
      <c r="AI17" s="138" t="str">
        <f aca="false">IF(BZ17="","",IF(BZ17=3,"AD",IF(BZ17=2, "A",IF(BZ17= 1, "B",IF(BZ17= 0, "C")))))</f>
        <v/>
      </c>
      <c r="AJ17" s="143"/>
      <c r="AK17" s="143"/>
      <c r="AL17" s="143"/>
      <c r="AM17" s="138" t="str">
        <f aca="false">IF(CD17="","",IF(CD17=3,"AD",IF(CD17=2, "A",IF(CD17= 1, "B",IF(CD17= 0, "C")))))</f>
        <v/>
      </c>
      <c r="AN17" s="148" t="str">
        <f aca="false">IF(AD17="","No presenta evidencias para su calificación",IF(AD17="AD","Demuestra aprendizaje que van más allá del nivel esperado",IF(AD17="A","Demuestra manejo satisfactorio en todas las tareas propuestas",IF(AD17="B","Está próximo al nivel esperado para lo cual requiere acompañamiento durante un tiempo razonable",IF(AD17= "C","No logro el desarrollo de las competencias",)))))</f>
        <v>No presenta evidencias para su calificación</v>
      </c>
      <c r="AO17" s="148"/>
      <c r="AP17" s="148"/>
      <c r="AQ17" s="148"/>
      <c r="AR17" s="148"/>
      <c r="AS17" s="148"/>
      <c r="AT17" s="148"/>
      <c r="AU17" s="148"/>
      <c r="AV17" s="148"/>
      <c r="AX17" s="140" t="str">
        <f aca="false">IF(C17="","",IF(C17="AD",3,IF(C17="A",2,IF(C17="B",1,IF(C17="C",0)))))</f>
        <v/>
      </c>
      <c r="AY17" s="140" t="str">
        <f aca="false">IF(D17="","",IF(D17="AD",3,IF(D17="A",2,IF(D17="B",1,IF(D17="C",0)))))</f>
        <v/>
      </c>
      <c r="AZ17" s="140" t="str">
        <f aca="false">IF(E17="","",IF(E17="AD",3,IF(E17="A",2,IF(E17="B",1,IF(E17="C",0)))))</f>
        <v/>
      </c>
      <c r="BA17" s="140" t="str">
        <f aca="false">IF(F17="","",IF(F17="AD",3,IF(F17="A",2,IF(F17="B",1,IF(F17="C",0)))))</f>
        <v/>
      </c>
      <c r="BB17" s="140" t="str">
        <f aca="false">IF(G17="","",IF(G17="AD",3,IF(G17="A",2,IF(G17="B",1,IF(G17="C",0)))))</f>
        <v/>
      </c>
      <c r="BC17" s="140" t="str">
        <f aca="false">IF(H17="","",IF(H17="AD",3,IF(H17="A",2,IF(H17="B",1,IF(H17="C",0)))))</f>
        <v/>
      </c>
      <c r="BD17" s="141" t="str">
        <f aca="false">IF(B17="","",IF(COUNT(AX17:BC17)=0,"",ROUND(AVERAGE(AX17:BC17),0)))</f>
        <v/>
      </c>
      <c r="BE17" s="140" t="str">
        <f aca="false">IF(K17="","",IF(K17="AD",3,IF(K17="A",2,IF(K17="B",1,IF(K17="C",0)))))</f>
        <v/>
      </c>
      <c r="BF17" s="140" t="str">
        <f aca="false">IF(L17="","",IF(L17="AD",3,IF(L17="A",2,IF(L17="B",1,IF(L17="C",0)))))</f>
        <v/>
      </c>
      <c r="BG17" s="140" t="str">
        <f aca="false">IF(M17="","",IF(M17="AD",3,IF(M17="A",2,IF(M17="B",1,IF(M17="C",0)))))</f>
        <v/>
      </c>
      <c r="BH17" s="140" t="str">
        <f aca="false">IF(N17="","",IF(N17="AD",3,IF(N17="A",2,IF(N17="B",1,IF(N17="C",0)))))</f>
        <v/>
      </c>
      <c r="BI17" s="140" t="str">
        <f aca="false">IF(O17="","",IF(O17="AD",3,IF(O17="A",2,IF(O17="B",1,IF(O17="C",0)))))</f>
        <v/>
      </c>
      <c r="BJ17" s="141" t="str">
        <f aca="false">IF(B17="","",IF(COUNT(BE17:BI17)=0,"",ROUND(AVERAGE(BE17:BI17),0)))</f>
        <v/>
      </c>
      <c r="BK17" s="140" t="str">
        <f aca="false">IF(R17="","",IF(R17="AD",3,IF(R17="A",2,IF(R17="B",1,IF(R17="C",0)))))</f>
        <v/>
      </c>
      <c r="BL17" s="140" t="str">
        <f aca="false">IF(S17="","",IF(S17="AD",3,IF(S17="A",2,IF(S17="B",1,IF(S17="C",0)))))</f>
        <v/>
      </c>
      <c r="BM17" s="140" t="str">
        <f aca="false">IF(T17="","",IF(T17="AD",3,IF(T17="A",2,IF(T17="B",1,IF(T17="C",0)))))</f>
        <v/>
      </c>
      <c r="BN17" s="140" t="str">
        <f aca="false">IF(U17="","",IF(U17="AD",3,IF(U17="A",2,IF(U17="B",1,IF(U17="C",0)))))</f>
        <v/>
      </c>
      <c r="BO17" s="141" t="str">
        <f aca="false">IF(B17="","",IF(COUNT(BK17:BN17)=0,"",ROUND(AVERAGE(BK17:BN17),0)))</f>
        <v/>
      </c>
      <c r="BP17" s="140" t="str">
        <f aca="false">IF(X17="","",IF(X17="AD",3,IF(X17="A",2,IF(X17="B",1,IF(X17="C",0)))))</f>
        <v/>
      </c>
      <c r="BQ17" s="140" t="str">
        <f aca="false">IF(Y17="","",IF(Y17="AD",3,IF(Y17="A",2,IF(Y17="B",1,IF(Y17="C",0)))))</f>
        <v/>
      </c>
      <c r="BR17" s="140" t="str">
        <f aca="false">IF(Z17="","",IF(Z17="AD",3,IF(Z17="A",2,IF(Z17="B",1,IF(Z17="C",0)))))</f>
        <v/>
      </c>
      <c r="BS17" s="140" t="str">
        <f aca="false">IF(AA17="","",IF(AA17="AD",3,IF(AA17="A",2,IF(AA17="B",1,IF(AA17="C",0)))))</f>
        <v/>
      </c>
      <c r="BT17" s="141" t="str">
        <f aca="false">IF(B17="","",IF(COUNT(BP17:BS17)=0,"",ROUND(AVERAGE(BP17:BS17),0)))</f>
        <v/>
      </c>
      <c r="BU17" s="142" t="str">
        <f aca="false">IF(ISERROR(AVERAGE(BD17,BJ17,BO17,BT17)),"",ROUND(AVERAGE(BD17,BJ17,BO17,BT17),0))</f>
        <v/>
      </c>
      <c r="BV17" s="140" t="str">
        <f aca="false">IF(AE17="","",IF(AE17="AD",3,IF(AE17="A",2,IF(AE17="B",1,IF(AE17="C",0)))))</f>
        <v/>
      </c>
      <c r="BW17" s="140" t="str">
        <f aca="false">IF(AF17="","",IF(AF17="AD",3,IF(AF17="A",2,IF(AF17="B",1,IF(AF17="C",0)))))</f>
        <v/>
      </c>
      <c r="BX17" s="140" t="str">
        <f aca="false">IF(AG17="","",IF(AG17="AD",3,IF(AG17="A",2,IF(AG17="B",1,IF(AG17="C",0)))))</f>
        <v/>
      </c>
      <c r="BY17" s="140" t="str">
        <f aca="false">IF(AH17="","",IF(AH17="AD",3,IF(AH17="A",2,IF(AH17="B",1,IF(AH17="C",0)))))</f>
        <v/>
      </c>
      <c r="BZ17" s="141" t="str">
        <f aca="false">IF(B17="","",IF(COUNT(BV17:BY17)=0,"",ROUND(AVERAGE(BV17:BY17),0)))</f>
        <v/>
      </c>
      <c r="CA17" s="140" t="str">
        <f aca="false">IF(AJ17="","",IF(AJ17="AD",3,IF(AJ17="A",2,IF(AJ17="B",1,IF(AJ17="C",0)))))</f>
        <v/>
      </c>
      <c r="CB17" s="140" t="str">
        <f aca="false">IF(AK17="","",IF(AK17="AD",3,IF(AK17="A",2,IF(AK17="B",1,IF(AK17="C",0)))))</f>
        <v/>
      </c>
      <c r="CC17" s="140" t="str">
        <f aca="false">IF(AL17="","",IF(AL17="AD",3,IF(AL17="A",2,IF(AL17="B",1,IF(AL17="C",0)))))</f>
        <v/>
      </c>
      <c r="CD17" s="141" t="str">
        <f aca="false">IF(B17="","",IF(COUNT(CA17:CC17)=0,"",ROUND(AVERAGE(CA17:CC17),0)))</f>
        <v/>
      </c>
    </row>
    <row r="18" customFormat="false" ht="12.75" hidden="false" customHeight="false" outlineLevel="0" collapsed="false">
      <c r="A18" s="130" t="n">
        <v>9</v>
      </c>
      <c r="B18" s="131" t="n">
        <f aca="false">'Datos '!D16</f>
        <v>0</v>
      </c>
      <c r="C18" s="143"/>
      <c r="D18" s="143"/>
      <c r="E18" s="143"/>
      <c r="F18" s="143"/>
      <c r="G18" s="143"/>
      <c r="H18" s="144"/>
      <c r="I18" s="134" t="str">
        <f aca="false">IF(BD18="","",IF(BD18=3,"AD",IF(BD18=2, "A",IF(BD18= 1, "B",IF(BD18= 0, "C")))))</f>
        <v/>
      </c>
      <c r="J18" s="145"/>
      <c r="K18" s="143"/>
      <c r="L18" s="143"/>
      <c r="M18" s="143"/>
      <c r="N18" s="143"/>
      <c r="O18" s="143"/>
      <c r="P18" s="134" t="str">
        <f aca="false">IF(BJ18="","",IF(BJ18=3,"AD",IF(BJ18=2, "A",IF(BJ18= 1, "B",IF(BJ18= 0, "C")))))</f>
        <v/>
      </c>
      <c r="Q18" s="145"/>
      <c r="R18" s="143"/>
      <c r="S18" s="143"/>
      <c r="T18" s="143"/>
      <c r="U18" s="143"/>
      <c r="V18" s="134" t="str">
        <f aca="false">IF(BO18="","",IF(BO18=3,"AD",IF(BO18=2, "A",IF(BO18= 1, "B",IF(BO18= 0, "C")))))</f>
        <v/>
      </c>
      <c r="W18" s="145"/>
      <c r="X18" s="143"/>
      <c r="Y18" s="143"/>
      <c r="Z18" s="143"/>
      <c r="AA18" s="143"/>
      <c r="AB18" s="134" t="str">
        <f aca="false">IF(BT18="","",IF(BT18=3,"AD",IF(BT18=2, "A",IF(BT18= 1, "B",IF(BT18= 0, "C")))))</f>
        <v/>
      </c>
      <c r="AC18" s="146"/>
      <c r="AD18" s="147" t="str">
        <f aca="false">IF(BU18="","",IF(BU18=3,"AD",IF(BU18=2, "A",IF(BU18= 1, "B",IF(BU18= 0, "C")))))</f>
        <v/>
      </c>
      <c r="AE18" s="143"/>
      <c r="AF18" s="143"/>
      <c r="AG18" s="143"/>
      <c r="AH18" s="143"/>
      <c r="AI18" s="138" t="str">
        <f aca="false">IF(BZ18="","",IF(BZ18=3,"AD",IF(BZ18=2, "A",IF(BZ18= 1, "B",IF(BZ18= 0, "C")))))</f>
        <v/>
      </c>
      <c r="AJ18" s="143"/>
      <c r="AK18" s="143"/>
      <c r="AL18" s="143"/>
      <c r="AM18" s="138" t="str">
        <f aca="false">IF(CD18="","",IF(CD18=3,"AD",IF(CD18=2, "A",IF(CD18= 1, "B",IF(CD18= 0, "C")))))</f>
        <v/>
      </c>
      <c r="AN18" s="148" t="str">
        <f aca="false">IF(AD18="","No presenta evidencias para su calificación",IF(AD18="AD","Demuestra aprendizaje que van más allá del nivel esperado",IF(AD18="A","Demuestra manejo satisfactorio en todas las tareas propuestas",IF(AD18="B","Está próximo al nivel esperado para lo cual requiere acompañamiento durante un tiempo razonable",IF(AD18= "C","No logro el desarrollo de las competencias",)))))</f>
        <v>No presenta evidencias para su calificación</v>
      </c>
      <c r="AO18" s="148"/>
      <c r="AP18" s="148"/>
      <c r="AQ18" s="148"/>
      <c r="AR18" s="148"/>
      <c r="AS18" s="148"/>
      <c r="AT18" s="148"/>
      <c r="AU18" s="148"/>
      <c r="AV18" s="148"/>
      <c r="AX18" s="140" t="str">
        <f aca="false">IF(C18="","",IF(C18="AD",3,IF(C18="A",2,IF(C18="B",1,IF(C18="C",0)))))</f>
        <v/>
      </c>
      <c r="AY18" s="140" t="str">
        <f aca="false">IF(D18="","",IF(D18="AD",3,IF(D18="A",2,IF(D18="B",1,IF(D18="C",0)))))</f>
        <v/>
      </c>
      <c r="AZ18" s="140" t="str">
        <f aca="false">IF(E18="","",IF(E18="AD",3,IF(E18="A",2,IF(E18="B",1,IF(E18="C",0)))))</f>
        <v/>
      </c>
      <c r="BA18" s="140" t="str">
        <f aca="false">IF(F18="","",IF(F18="AD",3,IF(F18="A",2,IF(F18="B",1,IF(F18="C",0)))))</f>
        <v/>
      </c>
      <c r="BB18" s="140" t="str">
        <f aca="false">IF(G18="","",IF(G18="AD",3,IF(G18="A",2,IF(G18="B",1,IF(G18="C",0)))))</f>
        <v/>
      </c>
      <c r="BC18" s="140" t="str">
        <f aca="false">IF(H18="","",IF(H18="AD",3,IF(H18="A",2,IF(H18="B",1,IF(H18="C",0)))))</f>
        <v/>
      </c>
      <c r="BD18" s="141" t="str">
        <f aca="false">IF(B18="","",IF(COUNT(AX18:BC18)=0,"",ROUND(AVERAGE(AX18:BC18),0)))</f>
        <v/>
      </c>
      <c r="BE18" s="140" t="str">
        <f aca="false">IF(K18="","",IF(K18="AD",3,IF(K18="A",2,IF(K18="B",1,IF(K18="C",0)))))</f>
        <v/>
      </c>
      <c r="BF18" s="140" t="str">
        <f aca="false">IF(L18="","",IF(L18="AD",3,IF(L18="A",2,IF(L18="B",1,IF(L18="C",0)))))</f>
        <v/>
      </c>
      <c r="BG18" s="140" t="str">
        <f aca="false">IF(M18="","",IF(M18="AD",3,IF(M18="A",2,IF(M18="B",1,IF(M18="C",0)))))</f>
        <v/>
      </c>
      <c r="BH18" s="140" t="str">
        <f aca="false">IF(N18="","",IF(N18="AD",3,IF(N18="A",2,IF(N18="B",1,IF(N18="C",0)))))</f>
        <v/>
      </c>
      <c r="BI18" s="140" t="str">
        <f aca="false">IF(O18="","",IF(O18="AD",3,IF(O18="A",2,IF(O18="B",1,IF(O18="C",0)))))</f>
        <v/>
      </c>
      <c r="BJ18" s="141" t="str">
        <f aca="false">IF(B18="","",IF(COUNT(BE18:BI18)=0,"",ROUND(AVERAGE(BE18:BI18),0)))</f>
        <v/>
      </c>
      <c r="BK18" s="140" t="str">
        <f aca="false">IF(R18="","",IF(R18="AD",3,IF(R18="A",2,IF(R18="B",1,IF(R18="C",0)))))</f>
        <v/>
      </c>
      <c r="BL18" s="140" t="str">
        <f aca="false">IF(S18="","",IF(S18="AD",3,IF(S18="A",2,IF(S18="B",1,IF(S18="C",0)))))</f>
        <v/>
      </c>
      <c r="BM18" s="140" t="str">
        <f aca="false">IF(T18="","",IF(T18="AD",3,IF(T18="A",2,IF(T18="B",1,IF(T18="C",0)))))</f>
        <v/>
      </c>
      <c r="BN18" s="140" t="str">
        <f aca="false">IF(U18="","",IF(U18="AD",3,IF(U18="A",2,IF(U18="B",1,IF(U18="C",0)))))</f>
        <v/>
      </c>
      <c r="BO18" s="141" t="str">
        <f aca="false">IF(B18="","",IF(COUNT(BK18:BN18)=0,"",ROUND(AVERAGE(BK18:BN18),0)))</f>
        <v/>
      </c>
      <c r="BP18" s="140" t="str">
        <f aca="false">IF(X18="","",IF(X18="AD",3,IF(X18="A",2,IF(X18="B",1,IF(X18="C",0)))))</f>
        <v/>
      </c>
      <c r="BQ18" s="140" t="str">
        <f aca="false">IF(Y18="","",IF(Y18="AD",3,IF(Y18="A",2,IF(Y18="B",1,IF(Y18="C",0)))))</f>
        <v/>
      </c>
      <c r="BR18" s="140" t="str">
        <f aca="false">IF(Z18="","",IF(Z18="AD",3,IF(Z18="A",2,IF(Z18="B",1,IF(Z18="C",0)))))</f>
        <v/>
      </c>
      <c r="BS18" s="140" t="str">
        <f aca="false">IF(AA18="","",IF(AA18="AD",3,IF(AA18="A",2,IF(AA18="B",1,IF(AA18="C",0)))))</f>
        <v/>
      </c>
      <c r="BT18" s="141" t="str">
        <f aca="false">IF(B18="","",IF(COUNT(BP18:BS18)=0,"",ROUND(AVERAGE(BP18:BS18),0)))</f>
        <v/>
      </c>
      <c r="BU18" s="142" t="str">
        <f aca="false">IF(ISERROR(AVERAGE(BD18,BJ18,BO18,BT18)),"",ROUND(AVERAGE(BD18,BJ18,BO18,BT18),0))</f>
        <v/>
      </c>
      <c r="BV18" s="140" t="str">
        <f aca="false">IF(AE18="","",IF(AE18="AD",3,IF(AE18="A",2,IF(AE18="B",1,IF(AE18="C",0)))))</f>
        <v/>
      </c>
      <c r="BW18" s="140" t="str">
        <f aca="false">IF(AF18="","",IF(AF18="AD",3,IF(AF18="A",2,IF(AF18="B",1,IF(AF18="C",0)))))</f>
        <v/>
      </c>
      <c r="BX18" s="140" t="str">
        <f aca="false">IF(AG18="","",IF(AG18="AD",3,IF(AG18="A",2,IF(AG18="B",1,IF(AG18="C",0)))))</f>
        <v/>
      </c>
      <c r="BY18" s="140" t="str">
        <f aca="false">IF(AH18="","",IF(AH18="AD",3,IF(AH18="A",2,IF(AH18="B",1,IF(AH18="C",0)))))</f>
        <v/>
      </c>
      <c r="BZ18" s="141" t="str">
        <f aca="false">IF(B18="","",IF(COUNT(BV18:BY18)=0,"",ROUND(AVERAGE(BV18:BY18),0)))</f>
        <v/>
      </c>
      <c r="CA18" s="140" t="str">
        <f aca="false">IF(AJ18="","",IF(AJ18="AD",3,IF(AJ18="A",2,IF(AJ18="B",1,IF(AJ18="C",0)))))</f>
        <v/>
      </c>
      <c r="CB18" s="140" t="str">
        <f aca="false">IF(AK18="","",IF(AK18="AD",3,IF(AK18="A",2,IF(AK18="B",1,IF(AK18="C",0)))))</f>
        <v/>
      </c>
      <c r="CC18" s="140" t="str">
        <f aca="false">IF(AL18="","",IF(AL18="AD",3,IF(AL18="A",2,IF(AL18="B",1,IF(AL18="C",0)))))</f>
        <v/>
      </c>
      <c r="CD18" s="141" t="str">
        <f aca="false">IF(B18="","",IF(COUNT(CA18:CC18)=0,"",ROUND(AVERAGE(CA18:CC18),0)))</f>
        <v/>
      </c>
    </row>
    <row r="19" customFormat="false" ht="12.75" hidden="false" customHeight="false" outlineLevel="0" collapsed="false">
      <c r="A19" s="130" t="n">
        <v>10</v>
      </c>
      <c r="B19" s="131" t="n">
        <f aca="false">'Datos '!D17</f>
        <v>0</v>
      </c>
      <c r="C19" s="143"/>
      <c r="D19" s="143"/>
      <c r="E19" s="143"/>
      <c r="F19" s="143"/>
      <c r="G19" s="143"/>
      <c r="H19" s="144"/>
      <c r="I19" s="134" t="str">
        <f aca="false">IF(BD19="","",IF(BD19=3,"AD",IF(BD19=2, "A",IF(BD19= 1, "B",IF(BD19= 0, "C")))))</f>
        <v/>
      </c>
      <c r="J19" s="145"/>
      <c r="K19" s="143"/>
      <c r="L19" s="143"/>
      <c r="M19" s="143"/>
      <c r="N19" s="143"/>
      <c r="O19" s="143"/>
      <c r="P19" s="134" t="str">
        <f aca="false">IF(BJ19="","",IF(BJ19=3,"AD",IF(BJ19=2, "A",IF(BJ19= 1, "B",IF(BJ19= 0, "C")))))</f>
        <v/>
      </c>
      <c r="Q19" s="145"/>
      <c r="R19" s="143"/>
      <c r="S19" s="143"/>
      <c r="T19" s="143"/>
      <c r="U19" s="143"/>
      <c r="V19" s="134" t="str">
        <f aca="false">IF(BO19="","",IF(BO19=3,"AD",IF(BO19=2, "A",IF(BO19= 1, "B",IF(BO19= 0, "C")))))</f>
        <v/>
      </c>
      <c r="W19" s="145"/>
      <c r="X19" s="143"/>
      <c r="Y19" s="143"/>
      <c r="Z19" s="143"/>
      <c r="AA19" s="143"/>
      <c r="AB19" s="134" t="str">
        <f aca="false">IF(BT19="","",IF(BT19=3,"AD",IF(BT19=2, "A",IF(BT19= 1, "B",IF(BT19= 0, "C")))))</f>
        <v/>
      </c>
      <c r="AC19" s="146"/>
      <c r="AD19" s="147" t="str">
        <f aca="false">IF(BU19="","",IF(BU19=3,"AD",IF(BU19=2, "A",IF(BU19= 1, "B",IF(BU19= 0, "C")))))</f>
        <v/>
      </c>
      <c r="AE19" s="143"/>
      <c r="AF19" s="143"/>
      <c r="AG19" s="143"/>
      <c r="AH19" s="143"/>
      <c r="AI19" s="138" t="str">
        <f aca="false">IF(BZ19="","",IF(BZ19=3,"AD",IF(BZ19=2, "A",IF(BZ19= 1, "B",IF(BZ19= 0, "C")))))</f>
        <v/>
      </c>
      <c r="AJ19" s="143"/>
      <c r="AK19" s="143"/>
      <c r="AL19" s="143"/>
      <c r="AM19" s="138" t="str">
        <f aca="false">IF(CD19="","",IF(CD19=3,"AD",IF(CD19=2, "A",IF(CD19= 1, "B",IF(CD19= 0, "C")))))</f>
        <v/>
      </c>
      <c r="AN19" s="148" t="str">
        <f aca="false">IF(AD19="","No presenta evidencias para su calificación",IF(AD19="AD","Demuestra aprendizaje que van más allá del nivel esperado",IF(AD19="A","Demuestra manejo satisfactorio en todas las tareas propuestas",IF(AD19="B","Está próximo al nivel esperado para lo cual requiere acompañamiento durante un tiempo razonable",IF(AD19= "C","No logro el desarrollo de las competencias",)))))</f>
        <v>No presenta evidencias para su calificación</v>
      </c>
      <c r="AO19" s="148"/>
      <c r="AP19" s="148"/>
      <c r="AQ19" s="148"/>
      <c r="AR19" s="148"/>
      <c r="AS19" s="148"/>
      <c r="AT19" s="148"/>
      <c r="AU19" s="148"/>
      <c r="AV19" s="148"/>
      <c r="AX19" s="140" t="str">
        <f aca="false">IF(C19="","",IF(C19="AD",3,IF(C19="A",2,IF(C19="B",1,IF(C19="C",0)))))</f>
        <v/>
      </c>
      <c r="AY19" s="140" t="str">
        <f aca="false">IF(D19="","",IF(D19="AD",3,IF(D19="A",2,IF(D19="B",1,IF(D19="C",0)))))</f>
        <v/>
      </c>
      <c r="AZ19" s="140" t="str">
        <f aca="false">IF(E19="","",IF(E19="AD",3,IF(E19="A",2,IF(E19="B",1,IF(E19="C",0)))))</f>
        <v/>
      </c>
      <c r="BA19" s="140" t="str">
        <f aca="false">IF(F19="","",IF(F19="AD",3,IF(F19="A",2,IF(F19="B",1,IF(F19="C",0)))))</f>
        <v/>
      </c>
      <c r="BB19" s="140" t="str">
        <f aca="false">IF(G19="","",IF(G19="AD",3,IF(G19="A",2,IF(G19="B",1,IF(G19="C",0)))))</f>
        <v/>
      </c>
      <c r="BC19" s="140" t="str">
        <f aca="false">IF(H19="","",IF(H19="AD",3,IF(H19="A",2,IF(H19="B",1,IF(H19="C",0)))))</f>
        <v/>
      </c>
      <c r="BD19" s="141" t="str">
        <f aca="false">IF(B19="","",IF(COUNT(AX19:BC19)=0,"",ROUND(AVERAGE(AX19:BC19),0)))</f>
        <v/>
      </c>
      <c r="BE19" s="140" t="str">
        <f aca="false">IF(K19="","",IF(K19="AD",3,IF(K19="A",2,IF(K19="B",1,IF(K19="C",0)))))</f>
        <v/>
      </c>
      <c r="BF19" s="140" t="str">
        <f aca="false">IF(L19="","",IF(L19="AD",3,IF(L19="A",2,IF(L19="B",1,IF(L19="C",0)))))</f>
        <v/>
      </c>
      <c r="BG19" s="140" t="str">
        <f aca="false">IF(M19="","",IF(M19="AD",3,IF(M19="A",2,IF(M19="B",1,IF(M19="C",0)))))</f>
        <v/>
      </c>
      <c r="BH19" s="140" t="str">
        <f aca="false">IF(N19="","",IF(N19="AD",3,IF(N19="A",2,IF(N19="B",1,IF(N19="C",0)))))</f>
        <v/>
      </c>
      <c r="BI19" s="140" t="str">
        <f aca="false">IF(O19="","",IF(O19="AD",3,IF(O19="A",2,IF(O19="B",1,IF(O19="C",0)))))</f>
        <v/>
      </c>
      <c r="BJ19" s="141" t="str">
        <f aca="false">IF(B19="","",IF(COUNT(BE19:BI19)=0,"",ROUND(AVERAGE(BE19:BI19),0)))</f>
        <v/>
      </c>
      <c r="BK19" s="140" t="str">
        <f aca="false">IF(R19="","",IF(R19="AD",3,IF(R19="A",2,IF(R19="B",1,IF(R19="C",0)))))</f>
        <v/>
      </c>
      <c r="BL19" s="140" t="str">
        <f aca="false">IF(S19="","",IF(S19="AD",3,IF(S19="A",2,IF(S19="B",1,IF(S19="C",0)))))</f>
        <v/>
      </c>
      <c r="BM19" s="140" t="str">
        <f aca="false">IF(T19="","",IF(T19="AD",3,IF(T19="A",2,IF(T19="B",1,IF(T19="C",0)))))</f>
        <v/>
      </c>
      <c r="BN19" s="140" t="str">
        <f aca="false">IF(U19="","",IF(U19="AD",3,IF(U19="A",2,IF(U19="B",1,IF(U19="C",0)))))</f>
        <v/>
      </c>
      <c r="BO19" s="141" t="str">
        <f aca="false">IF(B19="","",IF(COUNT(BK19:BN19)=0,"",ROUND(AVERAGE(BK19:BN19),0)))</f>
        <v/>
      </c>
      <c r="BP19" s="140" t="str">
        <f aca="false">IF(X19="","",IF(X19="AD",3,IF(X19="A",2,IF(X19="B",1,IF(X19="C",0)))))</f>
        <v/>
      </c>
      <c r="BQ19" s="140" t="str">
        <f aca="false">IF(Y19="","",IF(Y19="AD",3,IF(Y19="A",2,IF(Y19="B",1,IF(Y19="C",0)))))</f>
        <v/>
      </c>
      <c r="BR19" s="140" t="str">
        <f aca="false">IF(Z19="","",IF(Z19="AD",3,IF(Z19="A",2,IF(Z19="B",1,IF(Z19="C",0)))))</f>
        <v/>
      </c>
      <c r="BS19" s="140" t="str">
        <f aca="false">IF(AA19="","",IF(AA19="AD",3,IF(AA19="A",2,IF(AA19="B",1,IF(AA19="C",0)))))</f>
        <v/>
      </c>
      <c r="BT19" s="141" t="str">
        <f aca="false">IF(B19="","",IF(COUNT(BP19:BS19)=0,"",ROUND(AVERAGE(BP19:BS19),0)))</f>
        <v/>
      </c>
      <c r="BU19" s="142" t="str">
        <f aca="false">IF(ISERROR(AVERAGE(BD19,BJ19,BO19,BT19)),"",ROUND(AVERAGE(BD19,BJ19,BO19,BT19),0))</f>
        <v/>
      </c>
      <c r="BV19" s="140" t="str">
        <f aca="false">IF(AE19="","",IF(AE19="AD",3,IF(AE19="A",2,IF(AE19="B",1,IF(AE19="C",0)))))</f>
        <v/>
      </c>
      <c r="BW19" s="140" t="str">
        <f aca="false">IF(AF19="","",IF(AF19="AD",3,IF(AF19="A",2,IF(AF19="B",1,IF(AF19="C",0)))))</f>
        <v/>
      </c>
      <c r="BX19" s="140" t="str">
        <f aca="false">IF(AG19="","",IF(AG19="AD",3,IF(AG19="A",2,IF(AG19="B",1,IF(AG19="C",0)))))</f>
        <v/>
      </c>
      <c r="BY19" s="140" t="str">
        <f aca="false">IF(AH19="","",IF(AH19="AD",3,IF(AH19="A",2,IF(AH19="B",1,IF(AH19="C",0)))))</f>
        <v/>
      </c>
      <c r="BZ19" s="141" t="str">
        <f aca="false">IF(B19="","",IF(COUNT(BV19:BY19)=0,"",ROUND(AVERAGE(BV19:BY19),0)))</f>
        <v/>
      </c>
      <c r="CA19" s="140" t="str">
        <f aca="false">IF(AJ19="","",IF(AJ19="AD",3,IF(AJ19="A",2,IF(AJ19="B",1,IF(AJ19="C",0)))))</f>
        <v/>
      </c>
      <c r="CB19" s="140" t="str">
        <f aca="false">IF(AK19="","",IF(AK19="AD",3,IF(AK19="A",2,IF(AK19="B",1,IF(AK19="C",0)))))</f>
        <v/>
      </c>
      <c r="CC19" s="140" t="str">
        <f aca="false">IF(AL19="","",IF(AL19="AD",3,IF(AL19="A",2,IF(AL19="B",1,IF(AL19="C",0)))))</f>
        <v/>
      </c>
      <c r="CD19" s="141" t="str">
        <f aca="false">IF(B19="","",IF(COUNT(CA19:CC19)=0,"",ROUND(AVERAGE(CA19:CC19),0)))</f>
        <v/>
      </c>
    </row>
    <row r="20" customFormat="false" ht="12.75" hidden="false" customHeight="false" outlineLevel="0" collapsed="false">
      <c r="A20" s="130" t="n">
        <v>11</v>
      </c>
      <c r="B20" s="131" t="n">
        <f aca="false">'Datos '!D18</f>
        <v>0</v>
      </c>
      <c r="C20" s="143"/>
      <c r="D20" s="143"/>
      <c r="E20" s="143"/>
      <c r="F20" s="143"/>
      <c r="G20" s="143"/>
      <c r="H20" s="144"/>
      <c r="I20" s="134" t="str">
        <f aca="false">IF(BD20="","",IF(BD20=3,"AD",IF(BD20=2, "A",IF(BD20= 1, "B",IF(BD20= 0, "C")))))</f>
        <v/>
      </c>
      <c r="J20" s="145"/>
      <c r="K20" s="143"/>
      <c r="L20" s="143"/>
      <c r="M20" s="143"/>
      <c r="N20" s="143"/>
      <c r="O20" s="143"/>
      <c r="P20" s="134" t="str">
        <f aca="false">IF(BJ20="","",IF(BJ20=3,"AD",IF(BJ20=2, "A",IF(BJ20= 1, "B",IF(BJ20= 0, "C")))))</f>
        <v/>
      </c>
      <c r="Q20" s="145"/>
      <c r="R20" s="143"/>
      <c r="S20" s="143"/>
      <c r="T20" s="143"/>
      <c r="U20" s="143"/>
      <c r="V20" s="134" t="str">
        <f aca="false">IF(BO20="","",IF(BO20=3,"AD",IF(BO20=2, "A",IF(BO20= 1, "B",IF(BO20= 0, "C")))))</f>
        <v/>
      </c>
      <c r="W20" s="145"/>
      <c r="X20" s="143"/>
      <c r="Y20" s="143"/>
      <c r="Z20" s="143"/>
      <c r="AA20" s="143"/>
      <c r="AB20" s="134" t="str">
        <f aca="false">IF(BT20="","",IF(BT20=3,"AD",IF(BT20=2, "A",IF(BT20= 1, "B",IF(BT20= 0, "C")))))</f>
        <v/>
      </c>
      <c r="AC20" s="146"/>
      <c r="AD20" s="147" t="str">
        <f aca="false">IF(BU20="","",IF(BU20=3,"AD",IF(BU20=2, "A",IF(BU20= 1, "B",IF(BU20= 0, "C")))))</f>
        <v/>
      </c>
      <c r="AE20" s="143"/>
      <c r="AF20" s="143"/>
      <c r="AG20" s="143"/>
      <c r="AH20" s="143"/>
      <c r="AI20" s="138" t="str">
        <f aca="false">IF(BZ20="","",IF(BZ20=3,"AD",IF(BZ20=2, "A",IF(BZ20= 1, "B",IF(BZ20= 0, "C")))))</f>
        <v/>
      </c>
      <c r="AJ20" s="143"/>
      <c r="AK20" s="143"/>
      <c r="AL20" s="143"/>
      <c r="AM20" s="138" t="str">
        <f aca="false">IF(CD20="","",IF(CD20=3,"AD",IF(CD20=2, "A",IF(CD20= 1, "B",IF(CD20= 0, "C")))))</f>
        <v/>
      </c>
      <c r="AN20" s="148" t="str">
        <f aca="false">IF(AD20="","No presenta evidencias para su calificación",IF(AD20="AD","Demuestra aprendizaje que van más allá del nivel esperado",IF(AD20="A","Demuestra manejo satisfactorio en todas las tareas propuestas",IF(AD20="B","Está próximo al nivel esperado para lo cual requiere acompañamiento durante un tiempo razonable",IF(AD20= "C","No logro el desarrollo de las competencias",)))))</f>
        <v>No presenta evidencias para su calificación</v>
      </c>
      <c r="AO20" s="148"/>
      <c r="AP20" s="148"/>
      <c r="AQ20" s="148"/>
      <c r="AR20" s="148"/>
      <c r="AS20" s="148"/>
      <c r="AT20" s="148"/>
      <c r="AU20" s="148"/>
      <c r="AV20" s="148"/>
      <c r="AX20" s="140" t="str">
        <f aca="false">IF(C20="","",IF(C20="AD",3,IF(C20="A",2,IF(C20="B",1,IF(C20="C",0)))))</f>
        <v/>
      </c>
      <c r="AY20" s="140" t="str">
        <f aca="false">IF(D20="","",IF(D20="AD",3,IF(D20="A",2,IF(D20="B",1,IF(D20="C",0)))))</f>
        <v/>
      </c>
      <c r="AZ20" s="140" t="str">
        <f aca="false">IF(E20="","",IF(E20="AD",3,IF(E20="A",2,IF(E20="B",1,IF(E20="C",0)))))</f>
        <v/>
      </c>
      <c r="BA20" s="140" t="str">
        <f aca="false">IF(F20="","",IF(F20="AD",3,IF(F20="A",2,IF(F20="B",1,IF(F20="C",0)))))</f>
        <v/>
      </c>
      <c r="BB20" s="140" t="str">
        <f aca="false">IF(G20="","",IF(G20="AD",3,IF(G20="A",2,IF(G20="B",1,IF(G20="C",0)))))</f>
        <v/>
      </c>
      <c r="BC20" s="140" t="str">
        <f aca="false">IF(H20="","",IF(H20="AD",3,IF(H20="A",2,IF(H20="B",1,IF(H20="C",0)))))</f>
        <v/>
      </c>
      <c r="BD20" s="141" t="str">
        <f aca="false">IF(B20="","",IF(COUNT(AX20:BC20)=0,"",ROUND(AVERAGE(AX20:BC20),0)))</f>
        <v/>
      </c>
      <c r="BE20" s="140" t="str">
        <f aca="false">IF(K20="","",IF(K20="AD",3,IF(K20="A",2,IF(K20="B",1,IF(K20="C",0)))))</f>
        <v/>
      </c>
      <c r="BF20" s="140" t="str">
        <f aca="false">IF(L20="","",IF(L20="AD",3,IF(L20="A",2,IF(L20="B",1,IF(L20="C",0)))))</f>
        <v/>
      </c>
      <c r="BG20" s="140" t="str">
        <f aca="false">IF(M20="","",IF(M20="AD",3,IF(M20="A",2,IF(M20="B",1,IF(M20="C",0)))))</f>
        <v/>
      </c>
      <c r="BH20" s="140" t="str">
        <f aca="false">IF(N20="","",IF(N20="AD",3,IF(N20="A",2,IF(N20="B",1,IF(N20="C",0)))))</f>
        <v/>
      </c>
      <c r="BI20" s="140" t="str">
        <f aca="false">IF(O20="","",IF(O20="AD",3,IF(O20="A",2,IF(O20="B",1,IF(O20="C",0)))))</f>
        <v/>
      </c>
      <c r="BJ20" s="141" t="str">
        <f aca="false">IF(B20="","",IF(COUNT(BE20:BI20)=0,"",ROUND(AVERAGE(BE20:BI20),0)))</f>
        <v/>
      </c>
      <c r="BK20" s="140" t="str">
        <f aca="false">IF(R20="","",IF(R20="AD",3,IF(R20="A",2,IF(R20="B",1,IF(R20="C",0)))))</f>
        <v/>
      </c>
      <c r="BL20" s="140" t="str">
        <f aca="false">IF(S20="","",IF(S20="AD",3,IF(S20="A",2,IF(S20="B",1,IF(S20="C",0)))))</f>
        <v/>
      </c>
      <c r="BM20" s="140" t="str">
        <f aca="false">IF(T20="","",IF(T20="AD",3,IF(T20="A",2,IF(T20="B",1,IF(T20="C",0)))))</f>
        <v/>
      </c>
      <c r="BN20" s="140" t="str">
        <f aca="false">IF(U20="","",IF(U20="AD",3,IF(U20="A",2,IF(U20="B",1,IF(U20="C",0)))))</f>
        <v/>
      </c>
      <c r="BO20" s="141" t="str">
        <f aca="false">IF(B20="","",IF(COUNT(BK20:BN20)=0,"",ROUND(AVERAGE(BK20:BN20),0)))</f>
        <v/>
      </c>
      <c r="BP20" s="140" t="str">
        <f aca="false">IF(X20="","",IF(X20="AD",3,IF(X20="A",2,IF(X20="B",1,IF(X20="C",0)))))</f>
        <v/>
      </c>
      <c r="BQ20" s="140" t="str">
        <f aca="false">IF(Y20="","",IF(Y20="AD",3,IF(Y20="A",2,IF(Y20="B",1,IF(Y20="C",0)))))</f>
        <v/>
      </c>
      <c r="BR20" s="140" t="str">
        <f aca="false">IF(Z20="","",IF(Z20="AD",3,IF(Z20="A",2,IF(Z20="B",1,IF(Z20="C",0)))))</f>
        <v/>
      </c>
      <c r="BS20" s="140" t="str">
        <f aca="false">IF(AA20="","",IF(AA20="AD",3,IF(AA20="A",2,IF(AA20="B",1,IF(AA20="C",0)))))</f>
        <v/>
      </c>
      <c r="BT20" s="141" t="str">
        <f aca="false">IF(B20="","",IF(COUNT(BP20:BS20)=0,"",ROUND(AVERAGE(BP20:BS20),0)))</f>
        <v/>
      </c>
      <c r="BU20" s="142" t="str">
        <f aca="false">IF(ISERROR(AVERAGE(BD20,BJ20,BO20,BT20)),"",ROUND(AVERAGE(BD20,BJ20,BO20,BT20),0))</f>
        <v/>
      </c>
      <c r="BV20" s="140" t="str">
        <f aca="false">IF(AE20="","",IF(AE20="AD",3,IF(AE20="A",2,IF(AE20="B",1,IF(AE20="C",0)))))</f>
        <v/>
      </c>
      <c r="BW20" s="140" t="str">
        <f aca="false">IF(AF20="","",IF(AF20="AD",3,IF(AF20="A",2,IF(AF20="B",1,IF(AF20="C",0)))))</f>
        <v/>
      </c>
      <c r="BX20" s="140" t="str">
        <f aca="false">IF(AG20="","",IF(AG20="AD",3,IF(AG20="A",2,IF(AG20="B",1,IF(AG20="C",0)))))</f>
        <v/>
      </c>
      <c r="BY20" s="140" t="str">
        <f aca="false">IF(AH20="","",IF(AH20="AD",3,IF(AH20="A",2,IF(AH20="B",1,IF(AH20="C",0)))))</f>
        <v/>
      </c>
      <c r="BZ20" s="141" t="str">
        <f aca="false">IF(B20="","",IF(COUNT(BV20:BY20)=0,"",ROUND(AVERAGE(BV20:BY20),0)))</f>
        <v/>
      </c>
      <c r="CA20" s="140" t="str">
        <f aca="false">IF(AJ20="","",IF(AJ20="AD",3,IF(AJ20="A",2,IF(AJ20="B",1,IF(AJ20="C",0)))))</f>
        <v/>
      </c>
      <c r="CB20" s="140" t="str">
        <f aca="false">IF(AK20="","",IF(AK20="AD",3,IF(AK20="A",2,IF(AK20="B",1,IF(AK20="C",0)))))</f>
        <v/>
      </c>
      <c r="CC20" s="140" t="str">
        <f aca="false">IF(AL20="","",IF(AL20="AD",3,IF(AL20="A",2,IF(AL20="B",1,IF(AL20="C",0)))))</f>
        <v/>
      </c>
      <c r="CD20" s="141" t="str">
        <f aca="false">IF(B20="","",IF(COUNT(CA20:CC20)=0,"",ROUND(AVERAGE(CA20:CC20),0)))</f>
        <v/>
      </c>
    </row>
    <row r="21" customFormat="false" ht="12.75" hidden="false" customHeight="false" outlineLevel="0" collapsed="false">
      <c r="A21" s="130" t="n">
        <v>12</v>
      </c>
      <c r="B21" s="131" t="n">
        <f aca="false">'Datos '!D19</f>
        <v>0</v>
      </c>
      <c r="C21" s="143"/>
      <c r="D21" s="143"/>
      <c r="E21" s="143"/>
      <c r="F21" s="143"/>
      <c r="G21" s="143"/>
      <c r="H21" s="144"/>
      <c r="I21" s="134" t="str">
        <f aca="false">IF(BD21="","",IF(BD21=3,"AD",IF(BD21=2, "A",IF(BD21= 1, "B",IF(BD21= 0, "C")))))</f>
        <v/>
      </c>
      <c r="J21" s="145"/>
      <c r="K21" s="143"/>
      <c r="L21" s="143"/>
      <c r="M21" s="143"/>
      <c r="N21" s="143"/>
      <c r="O21" s="143"/>
      <c r="P21" s="134" t="str">
        <f aca="false">IF(BJ21="","",IF(BJ21=3,"AD",IF(BJ21=2, "A",IF(BJ21= 1, "B",IF(BJ21= 0, "C")))))</f>
        <v/>
      </c>
      <c r="Q21" s="145"/>
      <c r="R21" s="143"/>
      <c r="S21" s="143"/>
      <c r="T21" s="143"/>
      <c r="U21" s="143"/>
      <c r="V21" s="134" t="str">
        <f aca="false">IF(BO21="","",IF(BO21=3,"AD",IF(BO21=2, "A",IF(BO21= 1, "B",IF(BO21= 0, "C")))))</f>
        <v/>
      </c>
      <c r="W21" s="145"/>
      <c r="X21" s="143"/>
      <c r="Y21" s="143"/>
      <c r="Z21" s="143"/>
      <c r="AA21" s="143"/>
      <c r="AB21" s="134" t="str">
        <f aca="false">IF(BT21="","",IF(BT21=3,"AD",IF(BT21=2, "A",IF(BT21= 1, "B",IF(BT21= 0, "C")))))</f>
        <v/>
      </c>
      <c r="AC21" s="146"/>
      <c r="AD21" s="147" t="str">
        <f aca="false">IF(BU21="","",IF(BU21=3,"AD",IF(BU21=2, "A",IF(BU21= 1, "B",IF(BU21= 0, "C")))))</f>
        <v/>
      </c>
      <c r="AE21" s="143"/>
      <c r="AF21" s="143"/>
      <c r="AG21" s="143"/>
      <c r="AH21" s="143"/>
      <c r="AI21" s="138" t="str">
        <f aca="false">IF(BZ21="","",IF(BZ21=3,"AD",IF(BZ21=2, "A",IF(BZ21= 1, "B",IF(BZ21= 0, "C")))))</f>
        <v/>
      </c>
      <c r="AJ21" s="143"/>
      <c r="AK21" s="143"/>
      <c r="AL21" s="143"/>
      <c r="AM21" s="138" t="str">
        <f aca="false">IF(CD21="","",IF(CD21=3,"AD",IF(CD21=2, "A",IF(CD21= 1, "B",IF(CD21= 0, "C")))))</f>
        <v/>
      </c>
      <c r="AN21" s="148" t="str">
        <f aca="false">IF(AD21="","No presenta evidencias para su calificación",IF(AD21="AD","Demuestra aprendizaje que van más allá del nivel esperado",IF(AD21="A","Demuestra manejo satisfactorio en todas las tareas propuestas",IF(AD21="B","Está próximo al nivel esperado para lo cual requiere acompañamiento durante un tiempo razonable",IF(AD21= "C","No logro el desarrollo de las competencias",)))))</f>
        <v>No presenta evidencias para su calificación</v>
      </c>
      <c r="AO21" s="148"/>
      <c r="AP21" s="148"/>
      <c r="AQ21" s="148"/>
      <c r="AR21" s="148"/>
      <c r="AS21" s="148"/>
      <c r="AT21" s="148"/>
      <c r="AU21" s="148"/>
      <c r="AV21" s="148"/>
      <c r="AX21" s="140" t="str">
        <f aca="false">IF(C21="","",IF(C21="AD",3,IF(C21="A",2,IF(C21="B",1,IF(C21="C",0)))))</f>
        <v/>
      </c>
      <c r="AY21" s="140" t="str">
        <f aca="false">IF(D21="","",IF(D21="AD",3,IF(D21="A",2,IF(D21="B",1,IF(D21="C",0)))))</f>
        <v/>
      </c>
      <c r="AZ21" s="140" t="str">
        <f aca="false">IF(E21="","",IF(E21="AD",3,IF(E21="A",2,IF(E21="B",1,IF(E21="C",0)))))</f>
        <v/>
      </c>
      <c r="BA21" s="140" t="str">
        <f aca="false">IF(F21="","",IF(F21="AD",3,IF(F21="A",2,IF(F21="B",1,IF(F21="C",0)))))</f>
        <v/>
      </c>
      <c r="BB21" s="140" t="str">
        <f aca="false">IF(G21="","",IF(G21="AD",3,IF(G21="A",2,IF(G21="B",1,IF(G21="C",0)))))</f>
        <v/>
      </c>
      <c r="BC21" s="140" t="str">
        <f aca="false">IF(H21="","",IF(H21="AD",3,IF(H21="A",2,IF(H21="B",1,IF(H21="C",0)))))</f>
        <v/>
      </c>
      <c r="BD21" s="141" t="str">
        <f aca="false">IF(B21="","",IF(COUNT(AX21:BC21)=0,"",ROUND(AVERAGE(AX21:BC21),0)))</f>
        <v/>
      </c>
      <c r="BE21" s="140" t="str">
        <f aca="false">IF(K21="","",IF(K21="AD",3,IF(K21="A",2,IF(K21="B",1,IF(K21="C",0)))))</f>
        <v/>
      </c>
      <c r="BF21" s="140" t="str">
        <f aca="false">IF(L21="","",IF(L21="AD",3,IF(L21="A",2,IF(L21="B",1,IF(L21="C",0)))))</f>
        <v/>
      </c>
      <c r="BG21" s="140" t="str">
        <f aca="false">IF(M21="","",IF(M21="AD",3,IF(M21="A",2,IF(M21="B",1,IF(M21="C",0)))))</f>
        <v/>
      </c>
      <c r="BH21" s="140" t="str">
        <f aca="false">IF(N21="","",IF(N21="AD",3,IF(N21="A",2,IF(N21="B",1,IF(N21="C",0)))))</f>
        <v/>
      </c>
      <c r="BI21" s="140" t="str">
        <f aca="false">IF(O21="","",IF(O21="AD",3,IF(O21="A",2,IF(O21="B",1,IF(O21="C",0)))))</f>
        <v/>
      </c>
      <c r="BJ21" s="141" t="str">
        <f aca="false">IF(B21="","",IF(COUNT(BE21:BI21)=0,"",ROUND(AVERAGE(BE21:BI21),0)))</f>
        <v/>
      </c>
      <c r="BK21" s="140" t="str">
        <f aca="false">IF(R21="","",IF(R21="AD",3,IF(R21="A",2,IF(R21="B",1,IF(R21="C",0)))))</f>
        <v/>
      </c>
      <c r="BL21" s="140" t="str">
        <f aca="false">IF(S21="","",IF(S21="AD",3,IF(S21="A",2,IF(S21="B",1,IF(S21="C",0)))))</f>
        <v/>
      </c>
      <c r="BM21" s="140" t="str">
        <f aca="false">IF(T21="","",IF(T21="AD",3,IF(T21="A",2,IF(T21="B",1,IF(T21="C",0)))))</f>
        <v/>
      </c>
      <c r="BN21" s="140" t="str">
        <f aca="false">IF(U21="","",IF(U21="AD",3,IF(U21="A",2,IF(U21="B",1,IF(U21="C",0)))))</f>
        <v/>
      </c>
      <c r="BO21" s="141" t="str">
        <f aca="false">IF(B21="","",IF(COUNT(BK21:BN21)=0,"",ROUND(AVERAGE(BK21:BN21),0)))</f>
        <v/>
      </c>
      <c r="BP21" s="140" t="str">
        <f aca="false">IF(X21="","",IF(X21="AD",3,IF(X21="A",2,IF(X21="B",1,IF(X21="C",0)))))</f>
        <v/>
      </c>
      <c r="BQ21" s="140" t="str">
        <f aca="false">IF(Y21="","",IF(Y21="AD",3,IF(Y21="A",2,IF(Y21="B",1,IF(Y21="C",0)))))</f>
        <v/>
      </c>
      <c r="BR21" s="140" t="str">
        <f aca="false">IF(Z21="","",IF(Z21="AD",3,IF(Z21="A",2,IF(Z21="B",1,IF(Z21="C",0)))))</f>
        <v/>
      </c>
      <c r="BS21" s="140" t="str">
        <f aca="false">IF(AA21="","",IF(AA21="AD",3,IF(AA21="A",2,IF(AA21="B",1,IF(AA21="C",0)))))</f>
        <v/>
      </c>
      <c r="BT21" s="141" t="str">
        <f aca="false">IF(B21="","",IF(COUNT(BP21:BS21)=0,"",ROUND(AVERAGE(BP21:BS21),0)))</f>
        <v/>
      </c>
      <c r="BU21" s="142" t="str">
        <f aca="false">IF(ISERROR(AVERAGE(BD21,BJ21,BO21,BT21)),"",ROUND(AVERAGE(BD21,BJ21,BO21,BT21),0))</f>
        <v/>
      </c>
      <c r="BV21" s="140" t="str">
        <f aca="false">IF(AE21="","",IF(AE21="AD",3,IF(AE21="A",2,IF(AE21="B",1,IF(AE21="C",0)))))</f>
        <v/>
      </c>
      <c r="BW21" s="140" t="str">
        <f aca="false">IF(AF21="","",IF(AF21="AD",3,IF(AF21="A",2,IF(AF21="B",1,IF(AF21="C",0)))))</f>
        <v/>
      </c>
      <c r="BX21" s="140" t="str">
        <f aca="false">IF(AG21="","",IF(AG21="AD",3,IF(AG21="A",2,IF(AG21="B",1,IF(AG21="C",0)))))</f>
        <v/>
      </c>
      <c r="BY21" s="140" t="str">
        <f aca="false">IF(AH21="","",IF(AH21="AD",3,IF(AH21="A",2,IF(AH21="B",1,IF(AH21="C",0)))))</f>
        <v/>
      </c>
      <c r="BZ21" s="141" t="str">
        <f aca="false">IF(B21="","",IF(COUNT(BV21:BY21)=0,"",ROUND(AVERAGE(BV21:BY21),0)))</f>
        <v/>
      </c>
      <c r="CA21" s="140" t="str">
        <f aca="false">IF(AJ21="","",IF(AJ21="AD",3,IF(AJ21="A",2,IF(AJ21="B",1,IF(AJ21="C",0)))))</f>
        <v/>
      </c>
      <c r="CB21" s="140" t="str">
        <f aca="false">IF(AK21="","",IF(AK21="AD",3,IF(AK21="A",2,IF(AK21="B",1,IF(AK21="C",0)))))</f>
        <v/>
      </c>
      <c r="CC21" s="140" t="str">
        <f aca="false">IF(AL21="","",IF(AL21="AD",3,IF(AL21="A",2,IF(AL21="B",1,IF(AL21="C",0)))))</f>
        <v/>
      </c>
      <c r="CD21" s="141" t="str">
        <f aca="false">IF(B21="","",IF(COUNT(CA21:CC21)=0,"",ROUND(AVERAGE(CA21:CC21),0)))</f>
        <v/>
      </c>
    </row>
    <row r="22" customFormat="false" ht="12.75" hidden="false" customHeight="false" outlineLevel="0" collapsed="false">
      <c r="A22" s="130" t="n">
        <v>13</v>
      </c>
      <c r="B22" s="131" t="n">
        <f aca="false">'Datos '!D20</f>
        <v>0</v>
      </c>
      <c r="C22" s="143"/>
      <c r="D22" s="143"/>
      <c r="E22" s="143"/>
      <c r="F22" s="143"/>
      <c r="G22" s="143"/>
      <c r="H22" s="144"/>
      <c r="I22" s="134" t="str">
        <f aca="false">IF(BD22="","",IF(BD22=3,"AD",IF(BD22=2, "A",IF(BD22= 1, "B",IF(BD22= 0, "C")))))</f>
        <v/>
      </c>
      <c r="J22" s="145"/>
      <c r="K22" s="143"/>
      <c r="L22" s="143"/>
      <c r="M22" s="143"/>
      <c r="N22" s="143"/>
      <c r="O22" s="143"/>
      <c r="P22" s="134" t="str">
        <f aca="false">IF(BJ22="","",IF(BJ22=3,"AD",IF(BJ22=2, "A",IF(BJ22= 1, "B",IF(BJ22= 0, "C")))))</f>
        <v/>
      </c>
      <c r="Q22" s="145"/>
      <c r="R22" s="143"/>
      <c r="S22" s="143"/>
      <c r="T22" s="143"/>
      <c r="U22" s="143"/>
      <c r="V22" s="134" t="str">
        <f aca="false">IF(BO22="","",IF(BO22=3,"AD",IF(BO22=2, "A",IF(BO22= 1, "B",IF(BO22= 0, "C")))))</f>
        <v/>
      </c>
      <c r="W22" s="145"/>
      <c r="X22" s="143"/>
      <c r="Y22" s="143"/>
      <c r="Z22" s="143"/>
      <c r="AA22" s="143"/>
      <c r="AB22" s="134" t="str">
        <f aca="false">IF(BT22="","",IF(BT22=3,"AD",IF(BT22=2, "A",IF(BT22= 1, "B",IF(BT22= 0, "C")))))</f>
        <v/>
      </c>
      <c r="AC22" s="146"/>
      <c r="AD22" s="147" t="str">
        <f aca="false">IF(BU22="","",IF(BU22=3,"AD",IF(BU22=2, "A",IF(BU22= 1, "B",IF(BU22= 0, "C")))))</f>
        <v/>
      </c>
      <c r="AE22" s="143"/>
      <c r="AF22" s="143"/>
      <c r="AG22" s="143"/>
      <c r="AH22" s="143"/>
      <c r="AI22" s="138" t="str">
        <f aca="false">IF(BZ22="","",IF(BZ22=3,"AD",IF(BZ22=2, "A",IF(BZ22= 1, "B",IF(BZ22= 0, "C")))))</f>
        <v/>
      </c>
      <c r="AJ22" s="143"/>
      <c r="AK22" s="143"/>
      <c r="AL22" s="143"/>
      <c r="AM22" s="138" t="str">
        <f aca="false">IF(CD22="","",IF(CD22=3,"AD",IF(CD22=2, "A",IF(CD22= 1, "B",IF(CD22= 0, "C")))))</f>
        <v/>
      </c>
      <c r="AN22" s="148" t="str">
        <f aca="false">IF(AD22="","No presenta evidencias para su calificación",IF(AD22="AD","Demuestra aprendizaje que van más allá del nivel esperado",IF(AD22="A","Demuestra manejo satisfactorio en todas las tareas propuestas",IF(AD22="B","Está próximo al nivel esperado para lo cual requiere acompañamiento durante un tiempo razonable",IF(AD22= "C","No logro el desarrollo de las competencias",)))))</f>
        <v>No presenta evidencias para su calificación</v>
      </c>
      <c r="AO22" s="148"/>
      <c r="AP22" s="148"/>
      <c r="AQ22" s="148"/>
      <c r="AR22" s="148"/>
      <c r="AS22" s="148"/>
      <c r="AT22" s="148"/>
      <c r="AU22" s="148"/>
      <c r="AV22" s="148"/>
      <c r="AX22" s="140" t="str">
        <f aca="false">IF(C22="","",IF(C22="AD",3,IF(C22="A",2,IF(C22="B",1,IF(C22="C",0)))))</f>
        <v/>
      </c>
      <c r="AY22" s="140" t="str">
        <f aca="false">IF(D22="","",IF(D22="AD",3,IF(D22="A",2,IF(D22="B",1,IF(D22="C",0)))))</f>
        <v/>
      </c>
      <c r="AZ22" s="140" t="str">
        <f aca="false">IF(E22="","",IF(E22="AD",3,IF(E22="A",2,IF(E22="B",1,IF(E22="C",0)))))</f>
        <v/>
      </c>
      <c r="BA22" s="140" t="str">
        <f aca="false">IF(F22="","",IF(F22="AD",3,IF(F22="A",2,IF(F22="B",1,IF(F22="C",0)))))</f>
        <v/>
      </c>
      <c r="BB22" s="140" t="str">
        <f aca="false">IF(G22="","",IF(G22="AD",3,IF(G22="A",2,IF(G22="B",1,IF(G22="C",0)))))</f>
        <v/>
      </c>
      <c r="BC22" s="140" t="str">
        <f aca="false">IF(H22="","",IF(H22="AD",3,IF(H22="A",2,IF(H22="B",1,IF(H22="C",0)))))</f>
        <v/>
      </c>
      <c r="BD22" s="141" t="str">
        <f aca="false">IF(B22="","",IF(COUNT(AX22:BC22)=0,"",ROUND(AVERAGE(AX22:BC22),0)))</f>
        <v/>
      </c>
      <c r="BE22" s="140" t="str">
        <f aca="false">IF(K22="","",IF(K22="AD",3,IF(K22="A",2,IF(K22="B",1,IF(K22="C",0)))))</f>
        <v/>
      </c>
      <c r="BF22" s="140" t="str">
        <f aca="false">IF(L22="","",IF(L22="AD",3,IF(L22="A",2,IF(L22="B",1,IF(L22="C",0)))))</f>
        <v/>
      </c>
      <c r="BG22" s="140" t="str">
        <f aca="false">IF(M22="","",IF(M22="AD",3,IF(M22="A",2,IF(M22="B",1,IF(M22="C",0)))))</f>
        <v/>
      </c>
      <c r="BH22" s="140" t="str">
        <f aca="false">IF(N22="","",IF(N22="AD",3,IF(N22="A",2,IF(N22="B",1,IF(N22="C",0)))))</f>
        <v/>
      </c>
      <c r="BI22" s="140" t="str">
        <f aca="false">IF(O22="","",IF(O22="AD",3,IF(O22="A",2,IF(O22="B",1,IF(O22="C",0)))))</f>
        <v/>
      </c>
      <c r="BJ22" s="141" t="str">
        <f aca="false">IF(B22="","",IF(COUNT(BE22:BI22)=0,"",ROUND(AVERAGE(BE22:BI22),0)))</f>
        <v/>
      </c>
      <c r="BK22" s="140" t="str">
        <f aca="false">IF(R22="","",IF(R22="AD",3,IF(R22="A",2,IF(R22="B",1,IF(R22="C",0)))))</f>
        <v/>
      </c>
      <c r="BL22" s="140" t="str">
        <f aca="false">IF(S22="","",IF(S22="AD",3,IF(S22="A",2,IF(S22="B",1,IF(S22="C",0)))))</f>
        <v/>
      </c>
      <c r="BM22" s="140" t="str">
        <f aca="false">IF(T22="","",IF(T22="AD",3,IF(T22="A",2,IF(T22="B",1,IF(T22="C",0)))))</f>
        <v/>
      </c>
      <c r="BN22" s="140" t="str">
        <f aca="false">IF(U22="","",IF(U22="AD",3,IF(U22="A",2,IF(U22="B",1,IF(U22="C",0)))))</f>
        <v/>
      </c>
      <c r="BO22" s="141" t="str">
        <f aca="false">IF(B22="","",IF(COUNT(BK22:BN22)=0,"",ROUND(AVERAGE(BK22:BN22),0)))</f>
        <v/>
      </c>
      <c r="BP22" s="140" t="str">
        <f aca="false">IF(X22="","",IF(X22="AD",3,IF(X22="A",2,IF(X22="B",1,IF(X22="C",0)))))</f>
        <v/>
      </c>
      <c r="BQ22" s="140" t="str">
        <f aca="false">IF(Y22="","",IF(Y22="AD",3,IF(Y22="A",2,IF(Y22="B",1,IF(Y22="C",0)))))</f>
        <v/>
      </c>
      <c r="BR22" s="140" t="str">
        <f aca="false">IF(Z22="","",IF(Z22="AD",3,IF(Z22="A",2,IF(Z22="B",1,IF(Z22="C",0)))))</f>
        <v/>
      </c>
      <c r="BS22" s="140" t="str">
        <f aca="false">IF(AA22="","",IF(AA22="AD",3,IF(AA22="A",2,IF(AA22="B",1,IF(AA22="C",0)))))</f>
        <v/>
      </c>
      <c r="BT22" s="141" t="str">
        <f aca="false">IF(B22="","",IF(COUNT(BP22:BS22)=0,"",ROUND(AVERAGE(BP22:BS22),0)))</f>
        <v/>
      </c>
      <c r="BU22" s="142" t="str">
        <f aca="false">IF(ISERROR(AVERAGE(BD22,BJ22,BO22,BT22)),"",ROUND(AVERAGE(BD22,BJ22,BO22,BT22),0))</f>
        <v/>
      </c>
      <c r="BV22" s="140" t="str">
        <f aca="false">IF(AE22="","",IF(AE22="AD",3,IF(AE22="A",2,IF(AE22="B",1,IF(AE22="C",0)))))</f>
        <v/>
      </c>
      <c r="BW22" s="140" t="str">
        <f aca="false">IF(AF22="","",IF(AF22="AD",3,IF(AF22="A",2,IF(AF22="B",1,IF(AF22="C",0)))))</f>
        <v/>
      </c>
      <c r="BX22" s="140" t="str">
        <f aca="false">IF(AG22="","",IF(AG22="AD",3,IF(AG22="A",2,IF(AG22="B",1,IF(AG22="C",0)))))</f>
        <v/>
      </c>
      <c r="BY22" s="140" t="str">
        <f aca="false">IF(AH22="","",IF(AH22="AD",3,IF(AH22="A",2,IF(AH22="B",1,IF(AH22="C",0)))))</f>
        <v/>
      </c>
      <c r="BZ22" s="141" t="str">
        <f aca="false">IF(B22="","",IF(COUNT(BV22:BY22)=0,"",ROUND(AVERAGE(BV22:BY22),0)))</f>
        <v/>
      </c>
      <c r="CA22" s="140" t="str">
        <f aca="false">IF(AJ22="","",IF(AJ22="AD",3,IF(AJ22="A",2,IF(AJ22="B",1,IF(AJ22="C",0)))))</f>
        <v/>
      </c>
      <c r="CB22" s="140" t="str">
        <f aca="false">IF(AK22="","",IF(AK22="AD",3,IF(AK22="A",2,IF(AK22="B",1,IF(AK22="C",0)))))</f>
        <v/>
      </c>
      <c r="CC22" s="140" t="str">
        <f aca="false">IF(AL22="","",IF(AL22="AD",3,IF(AL22="A",2,IF(AL22="B",1,IF(AL22="C",0)))))</f>
        <v/>
      </c>
      <c r="CD22" s="141" t="str">
        <f aca="false">IF(B22="","",IF(COUNT(CA22:CC22)=0,"",ROUND(AVERAGE(CA22:CC22),0)))</f>
        <v/>
      </c>
    </row>
    <row r="23" customFormat="false" ht="12.75" hidden="false" customHeight="false" outlineLevel="0" collapsed="false">
      <c r="A23" s="130" t="n">
        <v>14</v>
      </c>
      <c r="B23" s="131" t="n">
        <f aca="false">'Datos '!D21</f>
        <v>0</v>
      </c>
      <c r="C23" s="143"/>
      <c r="D23" s="143"/>
      <c r="E23" s="143"/>
      <c r="F23" s="143"/>
      <c r="G23" s="143"/>
      <c r="H23" s="144"/>
      <c r="I23" s="134" t="str">
        <f aca="false">IF(BD23="","",IF(BD23=3,"AD",IF(BD23=2, "A",IF(BD23= 1, "B",IF(BD23= 0, "C")))))</f>
        <v/>
      </c>
      <c r="J23" s="145"/>
      <c r="K23" s="143"/>
      <c r="L23" s="143"/>
      <c r="M23" s="143"/>
      <c r="N23" s="143"/>
      <c r="O23" s="143"/>
      <c r="P23" s="134" t="str">
        <f aca="false">IF(BJ23="","",IF(BJ23=3,"AD",IF(BJ23=2, "A",IF(BJ23= 1, "B",IF(BJ23= 0, "C")))))</f>
        <v/>
      </c>
      <c r="Q23" s="145"/>
      <c r="R23" s="143"/>
      <c r="S23" s="143"/>
      <c r="T23" s="143"/>
      <c r="U23" s="143"/>
      <c r="V23" s="134" t="str">
        <f aca="false">IF(BO23="","",IF(BO23=3,"AD",IF(BO23=2, "A",IF(BO23= 1, "B",IF(BO23= 0, "C")))))</f>
        <v/>
      </c>
      <c r="W23" s="145"/>
      <c r="X23" s="143"/>
      <c r="Y23" s="143"/>
      <c r="Z23" s="143"/>
      <c r="AA23" s="143"/>
      <c r="AB23" s="134" t="str">
        <f aca="false">IF(BT23="","",IF(BT23=3,"AD",IF(BT23=2, "A",IF(BT23= 1, "B",IF(BT23= 0, "C")))))</f>
        <v/>
      </c>
      <c r="AC23" s="146"/>
      <c r="AD23" s="147" t="str">
        <f aca="false">IF(BU23="","",IF(BU23=3,"AD",IF(BU23=2, "A",IF(BU23= 1, "B",IF(BU23= 0, "C")))))</f>
        <v/>
      </c>
      <c r="AE23" s="143"/>
      <c r="AF23" s="143"/>
      <c r="AG23" s="143"/>
      <c r="AH23" s="143"/>
      <c r="AI23" s="138" t="str">
        <f aca="false">IF(BZ23="","",IF(BZ23=3,"AD",IF(BZ23=2, "A",IF(BZ23= 1, "B",IF(BZ23= 0, "C")))))</f>
        <v/>
      </c>
      <c r="AJ23" s="143"/>
      <c r="AK23" s="143"/>
      <c r="AL23" s="143"/>
      <c r="AM23" s="138" t="str">
        <f aca="false">IF(CD23="","",IF(CD23=3,"AD",IF(CD23=2, "A",IF(CD23= 1, "B",IF(CD23= 0, "C")))))</f>
        <v/>
      </c>
      <c r="AN23" s="148" t="str">
        <f aca="false">IF(AD23="","No presenta evidencias para su calificación",IF(AD23="AD","Demuestra aprendizaje que van más allá del nivel esperado",IF(AD23="A","Demuestra manejo satisfactorio en todas las tareas propuestas",IF(AD23="B","Está próximo al nivel esperado para lo cual requiere acompañamiento durante un tiempo razonable",IF(AD23= "C","No logro el desarrollo de las competencias",)))))</f>
        <v>No presenta evidencias para su calificación</v>
      </c>
      <c r="AO23" s="148"/>
      <c r="AP23" s="148"/>
      <c r="AQ23" s="148"/>
      <c r="AR23" s="148"/>
      <c r="AS23" s="148"/>
      <c r="AT23" s="148"/>
      <c r="AU23" s="148"/>
      <c r="AV23" s="148"/>
      <c r="AX23" s="140" t="str">
        <f aca="false">IF(C23="","",IF(C23="AD",3,IF(C23="A",2,IF(C23="B",1,IF(C23="C",0)))))</f>
        <v/>
      </c>
      <c r="AY23" s="140" t="str">
        <f aca="false">IF(D23="","",IF(D23="AD",3,IF(D23="A",2,IF(D23="B",1,IF(D23="C",0)))))</f>
        <v/>
      </c>
      <c r="AZ23" s="140" t="str">
        <f aca="false">IF(E23="","",IF(E23="AD",3,IF(E23="A",2,IF(E23="B",1,IF(E23="C",0)))))</f>
        <v/>
      </c>
      <c r="BA23" s="140" t="str">
        <f aca="false">IF(F23="","",IF(F23="AD",3,IF(F23="A",2,IF(F23="B",1,IF(F23="C",0)))))</f>
        <v/>
      </c>
      <c r="BB23" s="140" t="str">
        <f aca="false">IF(G23="","",IF(G23="AD",3,IF(G23="A",2,IF(G23="B",1,IF(G23="C",0)))))</f>
        <v/>
      </c>
      <c r="BC23" s="140" t="str">
        <f aca="false">IF(H23="","",IF(H23="AD",3,IF(H23="A",2,IF(H23="B",1,IF(H23="C",0)))))</f>
        <v/>
      </c>
      <c r="BD23" s="141" t="str">
        <f aca="false">IF(B23="","",IF(COUNT(AX23:BC23)=0,"",ROUND(AVERAGE(AX23:BC23),0)))</f>
        <v/>
      </c>
      <c r="BE23" s="140" t="str">
        <f aca="false">IF(K23="","",IF(K23="AD",3,IF(K23="A",2,IF(K23="B",1,IF(K23="C",0)))))</f>
        <v/>
      </c>
      <c r="BF23" s="140" t="str">
        <f aca="false">IF(L23="","",IF(L23="AD",3,IF(L23="A",2,IF(L23="B",1,IF(L23="C",0)))))</f>
        <v/>
      </c>
      <c r="BG23" s="140" t="str">
        <f aca="false">IF(M23="","",IF(M23="AD",3,IF(M23="A",2,IF(M23="B",1,IF(M23="C",0)))))</f>
        <v/>
      </c>
      <c r="BH23" s="140" t="str">
        <f aca="false">IF(N23="","",IF(N23="AD",3,IF(N23="A",2,IF(N23="B",1,IF(N23="C",0)))))</f>
        <v/>
      </c>
      <c r="BI23" s="140" t="str">
        <f aca="false">IF(O23="","",IF(O23="AD",3,IF(O23="A",2,IF(O23="B",1,IF(O23="C",0)))))</f>
        <v/>
      </c>
      <c r="BJ23" s="141" t="str">
        <f aca="false">IF(B23="","",IF(COUNT(BE23:BI23)=0,"",ROUND(AVERAGE(BE23:BI23),0)))</f>
        <v/>
      </c>
      <c r="BK23" s="140" t="str">
        <f aca="false">IF(R23="","",IF(R23="AD",3,IF(R23="A",2,IF(R23="B",1,IF(R23="C",0)))))</f>
        <v/>
      </c>
      <c r="BL23" s="140" t="str">
        <f aca="false">IF(S23="","",IF(S23="AD",3,IF(S23="A",2,IF(S23="B",1,IF(S23="C",0)))))</f>
        <v/>
      </c>
      <c r="BM23" s="140" t="str">
        <f aca="false">IF(T23="","",IF(T23="AD",3,IF(T23="A",2,IF(T23="B",1,IF(T23="C",0)))))</f>
        <v/>
      </c>
      <c r="BN23" s="140" t="str">
        <f aca="false">IF(U23="","",IF(U23="AD",3,IF(U23="A",2,IF(U23="B",1,IF(U23="C",0)))))</f>
        <v/>
      </c>
      <c r="BO23" s="141" t="str">
        <f aca="false">IF(B23="","",IF(COUNT(BK23:BN23)=0,"",ROUND(AVERAGE(BK23:BN23),0)))</f>
        <v/>
      </c>
      <c r="BP23" s="140" t="str">
        <f aca="false">IF(X23="","",IF(X23="AD",3,IF(X23="A",2,IF(X23="B",1,IF(X23="C",0)))))</f>
        <v/>
      </c>
      <c r="BQ23" s="140" t="str">
        <f aca="false">IF(Y23="","",IF(Y23="AD",3,IF(Y23="A",2,IF(Y23="B",1,IF(Y23="C",0)))))</f>
        <v/>
      </c>
      <c r="BR23" s="140" t="str">
        <f aca="false">IF(Z23="","",IF(Z23="AD",3,IF(Z23="A",2,IF(Z23="B",1,IF(Z23="C",0)))))</f>
        <v/>
      </c>
      <c r="BS23" s="140" t="str">
        <f aca="false">IF(AA23="","",IF(AA23="AD",3,IF(AA23="A",2,IF(AA23="B",1,IF(AA23="C",0)))))</f>
        <v/>
      </c>
      <c r="BT23" s="141" t="str">
        <f aca="false">IF(B23="","",IF(COUNT(BP23:BS23)=0,"",ROUND(AVERAGE(BP23:BS23),0)))</f>
        <v/>
      </c>
      <c r="BU23" s="142" t="str">
        <f aca="false">IF(ISERROR(AVERAGE(BD23,BJ23,BO23,BT23)),"",ROUND(AVERAGE(BD23,BJ23,BO23,BT23),0))</f>
        <v/>
      </c>
      <c r="BV23" s="140" t="str">
        <f aca="false">IF(AE23="","",IF(AE23="AD",3,IF(AE23="A",2,IF(AE23="B",1,IF(AE23="C",0)))))</f>
        <v/>
      </c>
      <c r="BW23" s="140" t="str">
        <f aca="false">IF(AF23="","",IF(AF23="AD",3,IF(AF23="A",2,IF(AF23="B",1,IF(AF23="C",0)))))</f>
        <v/>
      </c>
      <c r="BX23" s="140" t="str">
        <f aca="false">IF(AG23="","",IF(AG23="AD",3,IF(AG23="A",2,IF(AG23="B",1,IF(AG23="C",0)))))</f>
        <v/>
      </c>
      <c r="BY23" s="140" t="str">
        <f aca="false">IF(AH23="","",IF(AH23="AD",3,IF(AH23="A",2,IF(AH23="B",1,IF(AH23="C",0)))))</f>
        <v/>
      </c>
      <c r="BZ23" s="141" t="str">
        <f aca="false">IF(B23="","",IF(COUNT(BV23:BY23)=0,"",ROUND(AVERAGE(BV23:BY23),0)))</f>
        <v/>
      </c>
      <c r="CA23" s="140" t="str">
        <f aca="false">IF(AJ23="","",IF(AJ23="AD",3,IF(AJ23="A",2,IF(AJ23="B",1,IF(AJ23="C",0)))))</f>
        <v/>
      </c>
      <c r="CB23" s="140" t="str">
        <f aca="false">IF(AK23="","",IF(AK23="AD",3,IF(AK23="A",2,IF(AK23="B",1,IF(AK23="C",0)))))</f>
        <v/>
      </c>
      <c r="CC23" s="140" t="str">
        <f aca="false">IF(AL23="","",IF(AL23="AD",3,IF(AL23="A",2,IF(AL23="B",1,IF(AL23="C",0)))))</f>
        <v/>
      </c>
      <c r="CD23" s="141" t="str">
        <f aca="false">IF(B23="","",IF(COUNT(CA23:CC23)=0,"",ROUND(AVERAGE(CA23:CC23),0)))</f>
        <v/>
      </c>
    </row>
    <row r="24" customFormat="false" ht="12.75" hidden="false" customHeight="false" outlineLevel="0" collapsed="false">
      <c r="A24" s="130" t="n">
        <v>15</v>
      </c>
      <c r="B24" s="131" t="n">
        <f aca="false">'Datos '!D22</f>
        <v>0</v>
      </c>
      <c r="C24" s="143"/>
      <c r="D24" s="143"/>
      <c r="E24" s="143"/>
      <c r="F24" s="143"/>
      <c r="G24" s="143"/>
      <c r="H24" s="144"/>
      <c r="I24" s="134" t="str">
        <f aca="false">IF(BD24="","",IF(BD24=3,"AD",IF(BD24=2, "A",IF(BD24= 1, "B",IF(BD24= 0, "C")))))</f>
        <v/>
      </c>
      <c r="J24" s="145"/>
      <c r="K24" s="143"/>
      <c r="L24" s="143"/>
      <c r="M24" s="143"/>
      <c r="N24" s="143"/>
      <c r="O24" s="143"/>
      <c r="P24" s="134" t="str">
        <f aca="false">IF(BJ24="","",IF(BJ24=3,"AD",IF(BJ24=2, "A",IF(BJ24= 1, "B",IF(BJ24= 0, "C")))))</f>
        <v/>
      </c>
      <c r="Q24" s="145"/>
      <c r="R24" s="143"/>
      <c r="S24" s="143"/>
      <c r="T24" s="143"/>
      <c r="U24" s="143"/>
      <c r="V24" s="134" t="str">
        <f aca="false">IF(BO24="","",IF(BO24=3,"AD",IF(BO24=2, "A",IF(BO24= 1, "B",IF(BO24= 0, "C")))))</f>
        <v/>
      </c>
      <c r="W24" s="145"/>
      <c r="X24" s="143"/>
      <c r="Y24" s="143"/>
      <c r="Z24" s="143"/>
      <c r="AA24" s="143"/>
      <c r="AB24" s="134" t="str">
        <f aca="false">IF(BT24="","",IF(BT24=3,"AD",IF(BT24=2, "A",IF(BT24= 1, "B",IF(BT24= 0, "C")))))</f>
        <v/>
      </c>
      <c r="AC24" s="146"/>
      <c r="AD24" s="147" t="str">
        <f aca="false">IF(BU24="","",IF(BU24=3,"AD",IF(BU24=2, "A",IF(BU24= 1, "B",IF(BU24= 0, "C")))))</f>
        <v/>
      </c>
      <c r="AE24" s="143"/>
      <c r="AF24" s="143"/>
      <c r="AG24" s="143"/>
      <c r="AH24" s="143"/>
      <c r="AI24" s="138" t="str">
        <f aca="false">IF(BZ24="","",IF(BZ24=3,"AD",IF(BZ24=2, "A",IF(BZ24= 1, "B",IF(BZ24= 0, "C")))))</f>
        <v/>
      </c>
      <c r="AJ24" s="143"/>
      <c r="AK24" s="143"/>
      <c r="AL24" s="143"/>
      <c r="AM24" s="138" t="str">
        <f aca="false">IF(CD24="","",IF(CD24=3,"AD",IF(CD24=2, "A",IF(CD24= 1, "B",IF(CD24= 0, "C")))))</f>
        <v/>
      </c>
      <c r="AN24" s="148" t="str">
        <f aca="false">IF(AD24="","No presenta evidencias para su calificación",IF(AD24="AD","Demuestra aprendizaje que van más allá del nivel esperado",IF(AD24="A","Demuestra manejo satisfactorio en todas las tareas propuestas",IF(AD24="B","Está próximo al nivel esperado para lo cual requiere acompañamiento durante un tiempo razonable",IF(AD24= "C","No logro el desarrollo de las competencias",)))))</f>
        <v>No presenta evidencias para su calificación</v>
      </c>
      <c r="AO24" s="148"/>
      <c r="AP24" s="148"/>
      <c r="AQ24" s="148"/>
      <c r="AR24" s="148"/>
      <c r="AS24" s="148"/>
      <c r="AT24" s="148"/>
      <c r="AU24" s="148"/>
      <c r="AV24" s="148"/>
      <c r="AX24" s="140" t="str">
        <f aca="false">IF(C24="","",IF(C24="AD",3,IF(C24="A",2,IF(C24="B",1,IF(C24="C",0)))))</f>
        <v/>
      </c>
      <c r="AY24" s="140" t="str">
        <f aca="false">IF(D24="","",IF(D24="AD",3,IF(D24="A",2,IF(D24="B",1,IF(D24="C",0)))))</f>
        <v/>
      </c>
      <c r="AZ24" s="140" t="str">
        <f aca="false">IF(E24="","",IF(E24="AD",3,IF(E24="A",2,IF(E24="B",1,IF(E24="C",0)))))</f>
        <v/>
      </c>
      <c r="BA24" s="140" t="str">
        <f aca="false">IF(F24="","",IF(F24="AD",3,IF(F24="A",2,IF(F24="B",1,IF(F24="C",0)))))</f>
        <v/>
      </c>
      <c r="BB24" s="140" t="str">
        <f aca="false">IF(G24="","",IF(G24="AD",3,IF(G24="A",2,IF(G24="B",1,IF(G24="C",0)))))</f>
        <v/>
      </c>
      <c r="BC24" s="140" t="str">
        <f aca="false">IF(H24="","",IF(H24="AD",3,IF(H24="A",2,IF(H24="B",1,IF(H24="C",0)))))</f>
        <v/>
      </c>
      <c r="BD24" s="141" t="str">
        <f aca="false">IF(B24="","",IF(COUNT(AX24:BC24)=0,"",ROUND(AVERAGE(AX24:BC24),0)))</f>
        <v/>
      </c>
      <c r="BE24" s="140" t="str">
        <f aca="false">IF(K24="","",IF(K24="AD",3,IF(K24="A",2,IF(K24="B",1,IF(K24="C",0)))))</f>
        <v/>
      </c>
      <c r="BF24" s="140" t="str">
        <f aca="false">IF(L24="","",IF(L24="AD",3,IF(L24="A",2,IF(L24="B",1,IF(L24="C",0)))))</f>
        <v/>
      </c>
      <c r="BG24" s="140" t="str">
        <f aca="false">IF(M24="","",IF(M24="AD",3,IF(M24="A",2,IF(M24="B",1,IF(M24="C",0)))))</f>
        <v/>
      </c>
      <c r="BH24" s="140" t="str">
        <f aca="false">IF(N24="","",IF(N24="AD",3,IF(N24="A",2,IF(N24="B",1,IF(N24="C",0)))))</f>
        <v/>
      </c>
      <c r="BI24" s="140" t="str">
        <f aca="false">IF(O24="","",IF(O24="AD",3,IF(O24="A",2,IF(O24="B",1,IF(O24="C",0)))))</f>
        <v/>
      </c>
      <c r="BJ24" s="141" t="str">
        <f aca="false">IF(B24="","",IF(COUNT(BE24:BI24)=0,"",ROUND(AVERAGE(BE24:BI24),0)))</f>
        <v/>
      </c>
      <c r="BK24" s="140" t="str">
        <f aca="false">IF(R24="","",IF(R24="AD",3,IF(R24="A",2,IF(R24="B",1,IF(R24="C",0)))))</f>
        <v/>
      </c>
      <c r="BL24" s="140" t="str">
        <f aca="false">IF(S24="","",IF(S24="AD",3,IF(S24="A",2,IF(S24="B",1,IF(S24="C",0)))))</f>
        <v/>
      </c>
      <c r="BM24" s="140" t="str">
        <f aca="false">IF(T24="","",IF(T24="AD",3,IF(T24="A",2,IF(T24="B",1,IF(T24="C",0)))))</f>
        <v/>
      </c>
      <c r="BN24" s="140" t="str">
        <f aca="false">IF(U24="","",IF(U24="AD",3,IF(U24="A",2,IF(U24="B",1,IF(U24="C",0)))))</f>
        <v/>
      </c>
      <c r="BO24" s="141" t="str">
        <f aca="false">IF(B24="","",IF(COUNT(BK24:BN24)=0,"",ROUND(AVERAGE(BK24:BN24),0)))</f>
        <v/>
      </c>
      <c r="BP24" s="140" t="str">
        <f aca="false">IF(X24="","",IF(X24="AD",3,IF(X24="A",2,IF(X24="B",1,IF(X24="C",0)))))</f>
        <v/>
      </c>
      <c r="BQ24" s="140" t="str">
        <f aca="false">IF(Y24="","",IF(Y24="AD",3,IF(Y24="A",2,IF(Y24="B",1,IF(Y24="C",0)))))</f>
        <v/>
      </c>
      <c r="BR24" s="140" t="str">
        <f aca="false">IF(Z24="","",IF(Z24="AD",3,IF(Z24="A",2,IF(Z24="B",1,IF(Z24="C",0)))))</f>
        <v/>
      </c>
      <c r="BS24" s="140" t="str">
        <f aca="false">IF(AA24="","",IF(AA24="AD",3,IF(AA24="A",2,IF(AA24="B",1,IF(AA24="C",0)))))</f>
        <v/>
      </c>
      <c r="BT24" s="141" t="str">
        <f aca="false">IF(B24="","",IF(COUNT(BP24:BS24)=0,"",ROUND(AVERAGE(BP24:BS24),0)))</f>
        <v/>
      </c>
      <c r="BU24" s="142" t="str">
        <f aca="false">IF(ISERROR(AVERAGE(BD24,BJ24,BO24,BT24)),"",ROUND(AVERAGE(BD24,BJ24,BO24,BT24),0))</f>
        <v/>
      </c>
      <c r="BV24" s="140" t="str">
        <f aca="false">IF(AE24="","",IF(AE24="AD",3,IF(AE24="A",2,IF(AE24="B",1,IF(AE24="C",0)))))</f>
        <v/>
      </c>
      <c r="BW24" s="140" t="str">
        <f aca="false">IF(AF24="","",IF(AF24="AD",3,IF(AF24="A",2,IF(AF24="B",1,IF(AF24="C",0)))))</f>
        <v/>
      </c>
      <c r="BX24" s="140" t="str">
        <f aca="false">IF(AG24="","",IF(AG24="AD",3,IF(AG24="A",2,IF(AG24="B",1,IF(AG24="C",0)))))</f>
        <v/>
      </c>
      <c r="BY24" s="140" t="str">
        <f aca="false">IF(AH24="","",IF(AH24="AD",3,IF(AH24="A",2,IF(AH24="B",1,IF(AH24="C",0)))))</f>
        <v/>
      </c>
      <c r="BZ24" s="141" t="str">
        <f aca="false">IF(B24="","",IF(COUNT(BV24:BY24)=0,"",ROUND(AVERAGE(BV24:BY24),0)))</f>
        <v/>
      </c>
      <c r="CA24" s="140" t="str">
        <f aca="false">IF(AJ24="","",IF(AJ24="AD",3,IF(AJ24="A",2,IF(AJ24="B",1,IF(AJ24="C",0)))))</f>
        <v/>
      </c>
      <c r="CB24" s="140" t="str">
        <f aca="false">IF(AK24="","",IF(AK24="AD",3,IF(AK24="A",2,IF(AK24="B",1,IF(AK24="C",0)))))</f>
        <v/>
      </c>
      <c r="CC24" s="140" t="str">
        <f aca="false">IF(AL24="","",IF(AL24="AD",3,IF(AL24="A",2,IF(AL24="B",1,IF(AL24="C",0)))))</f>
        <v/>
      </c>
      <c r="CD24" s="141" t="str">
        <f aca="false">IF(B24="","",IF(COUNT(CA24:CC24)=0,"",ROUND(AVERAGE(CA24:CC24),0)))</f>
        <v/>
      </c>
    </row>
    <row r="25" customFormat="false" ht="12.75" hidden="false" customHeight="false" outlineLevel="0" collapsed="false">
      <c r="A25" s="130" t="n">
        <v>16</v>
      </c>
      <c r="B25" s="131" t="n">
        <f aca="false">'Datos '!D23</f>
        <v>0</v>
      </c>
      <c r="C25" s="143"/>
      <c r="D25" s="143"/>
      <c r="E25" s="143"/>
      <c r="F25" s="143"/>
      <c r="G25" s="143"/>
      <c r="H25" s="144"/>
      <c r="I25" s="134" t="str">
        <f aca="false">IF(BD25="","",IF(BD25=3,"AD",IF(BD25=2, "A",IF(BD25= 1, "B",IF(BD25= 0, "C")))))</f>
        <v/>
      </c>
      <c r="J25" s="145"/>
      <c r="K25" s="143"/>
      <c r="L25" s="143"/>
      <c r="M25" s="143"/>
      <c r="N25" s="143"/>
      <c r="O25" s="143"/>
      <c r="P25" s="134" t="str">
        <f aca="false">IF(BJ25="","",IF(BJ25=3,"AD",IF(BJ25=2, "A",IF(BJ25= 1, "B",IF(BJ25= 0, "C")))))</f>
        <v/>
      </c>
      <c r="Q25" s="145"/>
      <c r="R25" s="143"/>
      <c r="S25" s="143"/>
      <c r="T25" s="143"/>
      <c r="U25" s="143"/>
      <c r="V25" s="134" t="str">
        <f aca="false">IF(BO25="","",IF(BO25=3,"AD",IF(BO25=2, "A",IF(BO25= 1, "B",IF(BO25= 0, "C")))))</f>
        <v/>
      </c>
      <c r="W25" s="145"/>
      <c r="X25" s="143"/>
      <c r="Y25" s="143"/>
      <c r="Z25" s="143"/>
      <c r="AA25" s="143"/>
      <c r="AB25" s="134" t="str">
        <f aca="false">IF(BT25="","",IF(BT25=3,"AD",IF(BT25=2, "A",IF(BT25= 1, "B",IF(BT25= 0, "C")))))</f>
        <v/>
      </c>
      <c r="AC25" s="146"/>
      <c r="AD25" s="147" t="str">
        <f aca="false">IF(BU25="","",IF(BU25=3,"AD",IF(BU25=2, "A",IF(BU25= 1, "B",IF(BU25= 0, "C")))))</f>
        <v/>
      </c>
      <c r="AE25" s="143"/>
      <c r="AF25" s="143"/>
      <c r="AG25" s="143"/>
      <c r="AH25" s="143"/>
      <c r="AI25" s="138" t="str">
        <f aca="false">IF(BZ25="","",IF(BZ25=3,"AD",IF(BZ25=2, "A",IF(BZ25= 1, "B",IF(BZ25= 0, "C")))))</f>
        <v/>
      </c>
      <c r="AJ25" s="143"/>
      <c r="AK25" s="143"/>
      <c r="AL25" s="143"/>
      <c r="AM25" s="138" t="str">
        <f aca="false">IF(CD25="","",IF(CD25=3,"AD",IF(CD25=2, "A",IF(CD25= 1, "B",IF(CD25= 0, "C")))))</f>
        <v/>
      </c>
      <c r="AN25" s="148" t="str">
        <f aca="false">IF(AD25="","No presenta evidencias para su calificación",IF(AD25="AD","Demuestra aprendizaje que van más allá del nivel esperado",IF(AD25="A","Demuestra manejo satisfactorio en todas las tareas propuestas",IF(AD25="B","Está próximo al nivel esperado para lo cual requiere acompañamiento durante un tiempo razonable",IF(AD25= "C","No logro el desarrollo de las competencias",)))))</f>
        <v>No presenta evidencias para su calificación</v>
      </c>
      <c r="AO25" s="148"/>
      <c r="AP25" s="148"/>
      <c r="AQ25" s="148"/>
      <c r="AR25" s="148"/>
      <c r="AS25" s="148"/>
      <c r="AT25" s="148"/>
      <c r="AU25" s="148"/>
      <c r="AV25" s="148"/>
      <c r="AX25" s="140" t="str">
        <f aca="false">IF(C25="","",IF(C25="AD",3,IF(C25="A",2,IF(C25="B",1,IF(C25="C",0)))))</f>
        <v/>
      </c>
      <c r="AY25" s="140" t="str">
        <f aca="false">IF(D25="","",IF(D25="AD",3,IF(D25="A",2,IF(D25="B",1,IF(D25="C",0)))))</f>
        <v/>
      </c>
      <c r="AZ25" s="140" t="str">
        <f aca="false">IF(E25="","",IF(E25="AD",3,IF(E25="A",2,IF(E25="B",1,IF(E25="C",0)))))</f>
        <v/>
      </c>
      <c r="BA25" s="140" t="str">
        <f aca="false">IF(F25="","",IF(F25="AD",3,IF(F25="A",2,IF(F25="B",1,IF(F25="C",0)))))</f>
        <v/>
      </c>
      <c r="BB25" s="140" t="str">
        <f aca="false">IF(G25="","",IF(G25="AD",3,IF(G25="A",2,IF(G25="B",1,IF(G25="C",0)))))</f>
        <v/>
      </c>
      <c r="BC25" s="140" t="str">
        <f aca="false">IF(H25="","",IF(H25="AD",3,IF(H25="A",2,IF(H25="B",1,IF(H25="C",0)))))</f>
        <v/>
      </c>
      <c r="BD25" s="141" t="str">
        <f aca="false">IF(B25="","",IF(COUNT(AX25:BC25)=0,"",ROUND(AVERAGE(AX25:BC25),0)))</f>
        <v/>
      </c>
      <c r="BE25" s="140" t="str">
        <f aca="false">IF(K25="","",IF(K25="AD",3,IF(K25="A",2,IF(K25="B",1,IF(K25="C",0)))))</f>
        <v/>
      </c>
      <c r="BF25" s="140" t="str">
        <f aca="false">IF(L25="","",IF(L25="AD",3,IF(L25="A",2,IF(L25="B",1,IF(L25="C",0)))))</f>
        <v/>
      </c>
      <c r="BG25" s="140" t="str">
        <f aca="false">IF(M25="","",IF(M25="AD",3,IF(M25="A",2,IF(M25="B",1,IF(M25="C",0)))))</f>
        <v/>
      </c>
      <c r="BH25" s="140" t="str">
        <f aca="false">IF(N25="","",IF(N25="AD",3,IF(N25="A",2,IF(N25="B",1,IF(N25="C",0)))))</f>
        <v/>
      </c>
      <c r="BI25" s="140" t="str">
        <f aca="false">IF(O25="","",IF(O25="AD",3,IF(O25="A",2,IF(O25="B",1,IF(O25="C",0)))))</f>
        <v/>
      </c>
      <c r="BJ25" s="141" t="str">
        <f aca="false">IF(B25="","",IF(COUNT(BE25:BI25)=0,"",ROUND(AVERAGE(BE25:BI25),0)))</f>
        <v/>
      </c>
      <c r="BK25" s="140" t="str">
        <f aca="false">IF(R25="","",IF(R25="AD",3,IF(R25="A",2,IF(R25="B",1,IF(R25="C",0)))))</f>
        <v/>
      </c>
      <c r="BL25" s="140" t="str">
        <f aca="false">IF(S25="","",IF(S25="AD",3,IF(S25="A",2,IF(S25="B",1,IF(S25="C",0)))))</f>
        <v/>
      </c>
      <c r="BM25" s="140" t="str">
        <f aca="false">IF(T25="","",IF(T25="AD",3,IF(T25="A",2,IF(T25="B",1,IF(T25="C",0)))))</f>
        <v/>
      </c>
      <c r="BN25" s="140" t="str">
        <f aca="false">IF(U25="","",IF(U25="AD",3,IF(U25="A",2,IF(U25="B",1,IF(U25="C",0)))))</f>
        <v/>
      </c>
      <c r="BO25" s="141" t="str">
        <f aca="false">IF(B25="","",IF(COUNT(BK25:BN25)=0,"",ROUND(AVERAGE(BK25:BN25),0)))</f>
        <v/>
      </c>
      <c r="BP25" s="140" t="str">
        <f aca="false">IF(X25="","",IF(X25="AD",3,IF(X25="A",2,IF(X25="B",1,IF(X25="C",0)))))</f>
        <v/>
      </c>
      <c r="BQ25" s="140" t="str">
        <f aca="false">IF(Y25="","",IF(Y25="AD",3,IF(Y25="A",2,IF(Y25="B",1,IF(Y25="C",0)))))</f>
        <v/>
      </c>
      <c r="BR25" s="140" t="str">
        <f aca="false">IF(Z25="","",IF(Z25="AD",3,IF(Z25="A",2,IF(Z25="B",1,IF(Z25="C",0)))))</f>
        <v/>
      </c>
      <c r="BS25" s="140" t="str">
        <f aca="false">IF(AA25="","",IF(AA25="AD",3,IF(AA25="A",2,IF(AA25="B",1,IF(AA25="C",0)))))</f>
        <v/>
      </c>
      <c r="BT25" s="141" t="str">
        <f aca="false">IF(B25="","",IF(COUNT(BP25:BS25)=0,"",ROUND(AVERAGE(BP25:BS25),0)))</f>
        <v/>
      </c>
      <c r="BU25" s="142" t="str">
        <f aca="false">IF(ISERROR(AVERAGE(BD25,BJ25,BO25,BT25)),"",ROUND(AVERAGE(BD25,BJ25,BO25,BT25),0))</f>
        <v/>
      </c>
      <c r="BV25" s="140" t="str">
        <f aca="false">IF(AE25="","",IF(AE25="AD",3,IF(AE25="A",2,IF(AE25="B",1,IF(AE25="C",0)))))</f>
        <v/>
      </c>
      <c r="BW25" s="140" t="str">
        <f aca="false">IF(AF25="","",IF(AF25="AD",3,IF(AF25="A",2,IF(AF25="B",1,IF(AF25="C",0)))))</f>
        <v/>
      </c>
      <c r="BX25" s="140" t="str">
        <f aca="false">IF(AG25="","",IF(AG25="AD",3,IF(AG25="A",2,IF(AG25="B",1,IF(AG25="C",0)))))</f>
        <v/>
      </c>
      <c r="BY25" s="140" t="str">
        <f aca="false">IF(AH25="","",IF(AH25="AD",3,IF(AH25="A",2,IF(AH25="B",1,IF(AH25="C",0)))))</f>
        <v/>
      </c>
      <c r="BZ25" s="141" t="str">
        <f aca="false">IF(B25="","",IF(COUNT(BV25:BY25)=0,"",ROUND(AVERAGE(BV25:BY25),0)))</f>
        <v/>
      </c>
      <c r="CA25" s="140" t="str">
        <f aca="false">IF(AJ25="","",IF(AJ25="AD",3,IF(AJ25="A",2,IF(AJ25="B",1,IF(AJ25="C",0)))))</f>
        <v/>
      </c>
      <c r="CB25" s="140" t="str">
        <f aca="false">IF(AK25="","",IF(AK25="AD",3,IF(AK25="A",2,IF(AK25="B",1,IF(AK25="C",0)))))</f>
        <v/>
      </c>
      <c r="CC25" s="140" t="str">
        <f aca="false">IF(AL25="","",IF(AL25="AD",3,IF(AL25="A",2,IF(AL25="B",1,IF(AL25="C",0)))))</f>
        <v/>
      </c>
      <c r="CD25" s="141" t="str">
        <f aca="false">IF(B25="","",IF(COUNT(CA25:CC25)=0,"",ROUND(AVERAGE(CA25:CC25),0)))</f>
        <v/>
      </c>
    </row>
    <row r="26" customFormat="false" ht="12.75" hidden="false" customHeight="false" outlineLevel="0" collapsed="false">
      <c r="A26" s="130" t="n">
        <v>17</v>
      </c>
      <c r="B26" s="131" t="n">
        <f aca="false">'Datos '!D24</f>
        <v>0</v>
      </c>
      <c r="C26" s="143"/>
      <c r="D26" s="143"/>
      <c r="E26" s="143"/>
      <c r="F26" s="143"/>
      <c r="G26" s="143"/>
      <c r="H26" s="144"/>
      <c r="I26" s="134" t="str">
        <f aca="false">IF(BD26="","",IF(BD26=3,"AD",IF(BD26=2, "A",IF(BD26= 1, "B",IF(BD26= 0, "C")))))</f>
        <v/>
      </c>
      <c r="J26" s="145"/>
      <c r="K26" s="143"/>
      <c r="L26" s="143"/>
      <c r="M26" s="143"/>
      <c r="N26" s="143"/>
      <c r="O26" s="143"/>
      <c r="P26" s="134" t="str">
        <f aca="false">IF(BJ26="","",IF(BJ26=3,"AD",IF(BJ26=2, "A",IF(BJ26= 1, "B",IF(BJ26= 0, "C")))))</f>
        <v/>
      </c>
      <c r="Q26" s="145"/>
      <c r="R26" s="143"/>
      <c r="S26" s="143"/>
      <c r="T26" s="143"/>
      <c r="U26" s="143"/>
      <c r="V26" s="134" t="str">
        <f aca="false">IF(BO26="","",IF(BO26=3,"AD",IF(BO26=2, "A",IF(BO26= 1, "B",IF(BO26= 0, "C")))))</f>
        <v/>
      </c>
      <c r="W26" s="145"/>
      <c r="X26" s="143"/>
      <c r="Y26" s="143"/>
      <c r="Z26" s="143"/>
      <c r="AA26" s="143"/>
      <c r="AB26" s="134" t="str">
        <f aca="false">IF(BT26="","",IF(BT26=3,"AD",IF(BT26=2, "A",IF(BT26= 1, "B",IF(BT26= 0, "C")))))</f>
        <v/>
      </c>
      <c r="AC26" s="146"/>
      <c r="AD26" s="147" t="str">
        <f aca="false">IF(BU26="","",IF(BU26=3,"AD",IF(BU26=2, "A",IF(BU26= 1, "B",IF(BU26= 0, "C")))))</f>
        <v/>
      </c>
      <c r="AE26" s="143"/>
      <c r="AF26" s="143"/>
      <c r="AG26" s="143"/>
      <c r="AH26" s="143"/>
      <c r="AI26" s="138" t="str">
        <f aca="false">IF(BZ26="","",IF(BZ26=3,"AD",IF(BZ26=2, "A",IF(BZ26= 1, "B",IF(BZ26= 0, "C")))))</f>
        <v/>
      </c>
      <c r="AJ26" s="143"/>
      <c r="AK26" s="143"/>
      <c r="AL26" s="143"/>
      <c r="AM26" s="138" t="str">
        <f aca="false">IF(CD26="","",IF(CD26=3,"AD",IF(CD26=2, "A",IF(CD26= 1, "B",IF(CD26= 0, "C")))))</f>
        <v/>
      </c>
      <c r="AN26" s="148" t="str">
        <f aca="false">IF(AD26="","No presenta evidencias para su calificación",IF(AD26="AD","Demuestra aprendizaje que van más allá del nivel esperado",IF(AD26="A","Demuestra manejo satisfactorio en todas las tareas propuestas",IF(AD26="B","Está próximo al nivel esperado para lo cual requiere acompañamiento durante un tiempo razonable",IF(AD26= "C","No logro el desarrollo de las competencias",)))))</f>
        <v>No presenta evidencias para su calificación</v>
      </c>
      <c r="AO26" s="148"/>
      <c r="AP26" s="148"/>
      <c r="AQ26" s="148"/>
      <c r="AR26" s="148"/>
      <c r="AS26" s="148"/>
      <c r="AT26" s="148"/>
      <c r="AU26" s="148"/>
      <c r="AV26" s="148"/>
      <c r="AX26" s="140" t="str">
        <f aca="false">IF(C26="","",IF(C26="AD",3,IF(C26="A",2,IF(C26="B",1,IF(C26="C",0)))))</f>
        <v/>
      </c>
      <c r="AY26" s="140" t="str">
        <f aca="false">IF(D26="","",IF(D26="AD",3,IF(D26="A",2,IF(D26="B",1,IF(D26="C",0)))))</f>
        <v/>
      </c>
      <c r="AZ26" s="140" t="str">
        <f aca="false">IF(E26="","",IF(E26="AD",3,IF(E26="A",2,IF(E26="B",1,IF(E26="C",0)))))</f>
        <v/>
      </c>
      <c r="BA26" s="140" t="str">
        <f aca="false">IF(F26="","",IF(F26="AD",3,IF(F26="A",2,IF(F26="B",1,IF(F26="C",0)))))</f>
        <v/>
      </c>
      <c r="BB26" s="140" t="str">
        <f aca="false">IF(G26="","",IF(G26="AD",3,IF(G26="A",2,IF(G26="B",1,IF(G26="C",0)))))</f>
        <v/>
      </c>
      <c r="BC26" s="140" t="str">
        <f aca="false">IF(H26="","",IF(H26="AD",3,IF(H26="A",2,IF(H26="B",1,IF(H26="C",0)))))</f>
        <v/>
      </c>
      <c r="BD26" s="141" t="str">
        <f aca="false">IF(B26="","",IF(COUNT(AX26:BC26)=0,"",ROUND(AVERAGE(AX26:BC26),0)))</f>
        <v/>
      </c>
      <c r="BE26" s="140" t="str">
        <f aca="false">IF(K26="","",IF(K26="AD",3,IF(K26="A",2,IF(K26="B",1,IF(K26="C",0)))))</f>
        <v/>
      </c>
      <c r="BF26" s="140" t="str">
        <f aca="false">IF(L26="","",IF(L26="AD",3,IF(L26="A",2,IF(L26="B",1,IF(L26="C",0)))))</f>
        <v/>
      </c>
      <c r="BG26" s="140" t="str">
        <f aca="false">IF(M26="","",IF(M26="AD",3,IF(M26="A",2,IF(M26="B",1,IF(M26="C",0)))))</f>
        <v/>
      </c>
      <c r="BH26" s="140" t="str">
        <f aca="false">IF(N26="","",IF(N26="AD",3,IF(N26="A",2,IF(N26="B",1,IF(N26="C",0)))))</f>
        <v/>
      </c>
      <c r="BI26" s="140" t="str">
        <f aca="false">IF(O26="","",IF(O26="AD",3,IF(O26="A",2,IF(O26="B",1,IF(O26="C",0)))))</f>
        <v/>
      </c>
      <c r="BJ26" s="141" t="str">
        <f aca="false">IF(B26="","",IF(COUNT(BE26:BI26)=0,"",ROUND(AVERAGE(BE26:BI26),0)))</f>
        <v/>
      </c>
      <c r="BK26" s="140" t="str">
        <f aca="false">IF(R26="","",IF(R26="AD",3,IF(R26="A",2,IF(R26="B",1,IF(R26="C",0)))))</f>
        <v/>
      </c>
      <c r="BL26" s="140" t="str">
        <f aca="false">IF(S26="","",IF(S26="AD",3,IF(S26="A",2,IF(S26="B",1,IF(S26="C",0)))))</f>
        <v/>
      </c>
      <c r="BM26" s="140" t="str">
        <f aca="false">IF(T26="","",IF(T26="AD",3,IF(T26="A",2,IF(T26="B",1,IF(T26="C",0)))))</f>
        <v/>
      </c>
      <c r="BN26" s="140" t="str">
        <f aca="false">IF(U26="","",IF(U26="AD",3,IF(U26="A",2,IF(U26="B",1,IF(U26="C",0)))))</f>
        <v/>
      </c>
      <c r="BO26" s="141" t="str">
        <f aca="false">IF(B26="","",IF(COUNT(BK26:BN26)=0,"",ROUND(AVERAGE(BK26:BN26),0)))</f>
        <v/>
      </c>
      <c r="BP26" s="140" t="str">
        <f aca="false">IF(X26="","",IF(X26="AD",3,IF(X26="A",2,IF(X26="B",1,IF(X26="C",0)))))</f>
        <v/>
      </c>
      <c r="BQ26" s="140" t="str">
        <f aca="false">IF(Y26="","",IF(Y26="AD",3,IF(Y26="A",2,IF(Y26="B",1,IF(Y26="C",0)))))</f>
        <v/>
      </c>
      <c r="BR26" s="140" t="str">
        <f aca="false">IF(Z26="","",IF(Z26="AD",3,IF(Z26="A",2,IF(Z26="B",1,IF(Z26="C",0)))))</f>
        <v/>
      </c>
      <c r="BS26" s="140" t="str">
        <f aca="false">IF(AA26="","",IF(AA26="AD",3,IF(AA26="A",2,IF(AA26="B",1,IF(AA26="C",0)))))</f>
        <v/>
      </c>
      <c r="BT26" s="141" t="str">
        <f aca="false">IF(B26="","",IF(COUNT(BP26:BS26)=0,"",ROUND(AVERAGE(BP26:BS26),0)))</f>
        <v/>
      </c>
      <c r="BU26" s="142" t="str">
        <f aca="false">IF(ISERROR(AVERAGE(BD26,BJ26,BO26,BT26)),"",ROUND(AVERAGE(BD26,BJ26,BO26,BT26),0))</f>
        <v/>
      </c>
      <c r="BV26" s="140" t="str">
        <f aca="false">IF(AE26="","",IF(AE26="AD",3,IF(AE26="A",2,IF(AE26="B",1,IF(AE26="C",0)))))</f>
        <v/>
      </c>
      <c r="BW26" s="140" t="str">
        <f aca="false">IF(AF26="","",IF(AF26="AD",3,IF(AF26="A",2,IF(AF26="B",1,IF(AF26="C",0)))))</f>
        <v/>
      </c>
      <c r="BX26" s="140" t="str">
        <f aca="false">IF(AG26="","",IF(AG26="AD",3,IF(AG26="A",2,IF(AG26="B",1,IF(AG26="C",0)))))</f>
        <v/>
      </c>
      <c r="BY26" s="140" t="str">
        <f aca="false">IF(AH26="","",IF(AH26="AD",3,IF(AH26="A",2,IF(AH26="B",1,IF(AH26="C",0)))))</f>
        <v/>
      </c>
      <c r="BZ26" s="141" t="str">
        <f aca="false">IF(B26="","",IF(COUNT(BV26:BY26)=0,"",ROUND(AVERAGE(BV26:BY26),0)))</f>
        <v/>
      </c>
      <c r="CA26" s="140" t="str">
        <f aca="false">IF(AJ26="","",IF(AJ26="AD",3,IF(AJ26="A",2,IF(AJ26="B",1,IF(AJ26="C",0)))))</f>
        <v/>
      </c>
      <c r="CB26" s="140" t="str">
        <f aca="false">IF(AK26="","",IF(AK26="AD",3,IF(AK26="A",2,IF(AK26="B",1,IF(AK26="C",0)))))</f>
        <v/>
      </c>
      <c r="CC26" s="140" t="str">
        <f aca="false">IF(AL26="","",IF(AL26="AD",3,IF(AL26="A",2,IF(AL26="B",1,IF(AL26="C",0)))))</f>
        <v/>
      </c>
      <c r="CD26" s="141" t="str">
        <f aca="false">IF(B26="","",IF(COUNT(CA26:CC26)=0,"",ROUND(AVERAGE(CA26:CC26),0)))</f>
        <v/>
      </c>
    </row>
    <row r="27" customFormat="false" ht="12.75" hidden="false" customHeight="false" outlineLevel="0" collapsed="false">
      <c r="A27" s="130" t="n">
        <v>18</v>
      </c>
      <c r="B27" s="131" t="n">
        <f aca="false">'Datos '!D25</f>
        <v>0</v>
      </c>
      <c r="C27" s="143"/>
      <c r="D27" s="143"/>
      <c r="E27" s="143"/>
      <c r="F27" s="143"/>
      <c r="G27" s="143"/>
      <c r="H27" s="144"/>
      <c r="I27" s="134" t="str">
        <f aca="false">IF(BD27="","",IF(BD27=3,"AD",IF(BD27=2, "A",IF(BD27= 1, "B",IF(BD27= 0, "C")))))</f>
        <v/>
      </c>
      <c r="J27" s="145"/>
      <c r="K27" s="143"/>
      <c r="L27" s="143"/>
      <c r="M27" s="143"/>
      <c r="N27" s="143"/>
      <c r="O27" s="143"/>
      <c r="P27" s="134" t="str">
        <f aca="false">IF(BJ27="","",IF(BJ27=3,"AD",IF(BJ27=2, "A",IF(BJ27= 1, "B",IF(BJ27= 0, "C")))))</f>
        <v/>
      </c>
      <c r="Q27" s="145"/>
      <c r="R27" s="143"/>
      <c r="S27" s="143"/>
      <c r="T27" s="143"/>
      <c r="U27" s="143"/>
      <c r="V27" s="134" t="str">
        <f aca="false">IF(BO27="","",IF(BO27=3,"AD",IF(BO27=2, "A",IF(BO27= 1, "B",IF(BO27= 0, "C")))))</f>
        <v/>
      </c>
      <c r="W27" s="145"/>
      <c r="X27" s="143"/>
      <c r="Y27" s="143"/>
      <c r="Z27" s="143"/>
      <c r="AA27" s="143"/>
      <c r="AB27" s="134" t="str">
        <f aca="false">IF(BT27="","",IF(BT27=3,"AD",IF(BT27=2, "A",IF(BT27= 1, "B",IF(BT27= 0, "C")))))</f>
        <v/>
      </c>
      <c r="AC27" s="146"/>
      <c r="AD27" s="147" t="str">
        <f aca="false">IF(BU27="","",IF(BU27=3,"AD",IF(BU27=2, "A",IF(BU27= 1, "B",IF(BU27= 0, "C")))))</f>
        <v/>
      </c>
      <c r="AE27" s="143"/>
      <c r="AF27" s="143"/>
      <c r="AG27" s="143"/>
      <c r="AH27" s="143"/>
      <c r="AI27" s="138" t="str">
        <f aca="false">IF(BZ27="","",IF(BZ27=3,"AD",IF(BZ27=2, "A",IF(BZ27= 1, "B",IF(BZ27= 0, "C")))))</f>
        <v/>
      </c>
      <c r="AJ27" s="143"/>
      <c r="AK27" s="143"/>
      <c r="AL27" s="143"/>
      <c r="AM27" s="138" t="str">
        <f aca="false">IF(CD27="","",IF(CD27=3,"AD",IF(CD27=2, "A",IF(CD27= 1, "B",IF(CD27= 0, "C")))))</f>
        <v/>
      </c>
      <c r="AN27" s="148" t="str">
        <f aca="false">IF(AD27="","No presenta evidencias para su calificación",IF(AD27="AD","Demuestra aprendizaje que van más allá del nivel esperado",IF(AD27="A","Demuestra manejo satisfactorio en todas las tareas propuestas",IF(AD27="B","Está próximo al nivel esperado para lo cual requiere acompañamiento durante un tiempo razonable",IF(AD27= "C","No logro el desarrollo de las competencias",)))))</f>
        <v>No presenta evidencias para su calificación</v>
      </c>
      <c r="AO27" s="148"/>
      <c r="AP27" s="148"/>
      <c r="AQ27" s="148"/>
      <c r="AR27" s="148"/>
      <c r="AS27" s="148"/>
      <c r="AT27" s="148"/>
      <c r="AU27" s="148"/>
      <c r="AV27" s="148"/>
      <c r="AX27" s="140" t="str">
        <f aca="false">IF(C27="","",IF(C27="AD",3,IF(C27="A",2,IF(C27="B",1,IF(C27="C",0)))))</f>
        <v/>
      </c>
      <c r="AY27" s="140" t="str">
        <f aca="false">IF(D27="","",IF(D27="AD",3,IF(D27="A",2,IF(D27="B",1,IF(D27="C",0)))))</f>
        <v/>
      </c>
      <c r="AZ27" s="140" t="str">
        <f aca="false">IF(E27="","",IF(E27="AD",3,IF(E27="A",2,IF(E27="B",1,IF(E27="C",0)))))</f>
        <v/>
      </c>
      <c r="BA27" s="140" t="str">
        <f aca="false">IF(F27="","",IF(F27="AD",3,IF(F27="A",2,IF(F27="B",1,IF(F27="C",0)))))</f>
        <v/>
      </c>
      <c r="BB27" s="140" t="str">
        <f aca="false">IF(G27="","",IF(G27="AD",3,IF(G27="A",2,IF(G27="B",1,IF(G27="C",0)))))</f>
        <v/>
      </c>
      <c r="BC27" s="140" t="str">
        <f aca="false">IF(H27="","",IF(H27="AD",3,IF(H27="A",2,IF(H27="B",1,IF(H27="C",0)))))</f>
        <v/>
      </c>
      <c r="BD27" s="141" t="str">
        <f aca="false">IF(B27="","",IF(COUNT(AX27:BC27)=0,"",ROUND(AVERAGE(AX27:BC27),0)))</f>
        <v/>
      </c>
      <c r="BE27" s="140" t="str">
        <f aca="false">IF(K27="","",IF(K27="AD",3,IF(K27="A",2,IF(K27="B",1,IF(K27="C",0)))))</f>
        <v/>
      </c>
      <c r="BF27" s="140" t="str">
        <f aca="false">IF(L27="","",IF(L27="AD",3,IF(L27="A",2,IF(L27="B",1,IF(L27="C",0)))))</f>
        <v/>
      </c>
      <c r="BG27" s="140" t="str">
        <f aca="false">IF(M27="","",IF(M27="AD",3,IF(M27="A",2,IF(M27="B",1,IF(M27="C",0)))))</f>
        <v/>
      </c>
      <c r="BH27" s="140" t="str">
        <f aca="false">IF(N27="","",IF(N27="AD",3,IF(N27="A",2,IF(N27="B",1,IF(N27="C",0)))))</f>
        <v/>
      </c>
      <c r="BI27" s="140" t="str">
        <f aca="false">IF(O27="","",IF(O27="AD",3,IF(O27="A",2,IF(O27="B",1,IF(O27="C",0)))))</f>
        <v/>
      </c>
      <c r="BJ27" s="141" t="str">
        <f aca="false">IF(B27="","",IF(COUNT(BE27:BI27)=0,"",ROUND(AVERAGE(BE27:BI27),0)))</f>
        <v/>
      </c>
      <c r="BK27" s="140" t="str">
        <f aca="false">IF(R27="","",IF(R27="AD",3,IF(R27="A",2,IF(R27="B",1,IF(R27="C",0)))))</f>
        <v/>
      </c>
      <c r="BL27" s="140" t="str">
        <f aca="false">IF(S27="","",IF(S27="AD",3,IF(S27="A",2,IF(S27="B",1,IF(S27="C",0)))))</f>
        <v/>
      </c>
      <c r="BM27" s="140" t="str">
        <f aca="false">IF(T27="","",IF(T27="AD",3,IF(T27="A",2,IF(T27="B",1,IF(T27="C",0)))))</f>
        <v/>
      </c>
      <c r="BN27" s="140" t="str">
        <f aca="false">IF(U27="","",IF(U27="AD",3,IF(U27="A",2,IF(U27="B",1,IF(U27="C",0)))))</f>
        <v/>
      </c>
      <c r="BO27" s="141" t="str">
        <f aca="false">IF(B27="","",IF(COUNT(BK27:BN27)=0,"",ROUND(AVERAGE(BK27:BN27),0)))</f>
        <v/>
      </c>
      <c r="BP27" s="140" t="str">
        <f aca="false">IF(X27="","",IF(X27="AD",3,IF(X27="A",2,IF(X27="B",1,IF(X27="C",0)))))</f>
        <v/>
      </c>
      <c r="BQ27" s="140" t="str">
        <f aca="false">IF(Y27="","",IF(Y27="AD",3,IF(Y27="A",2,IF(Y27="B",1,IF(Y27="C",0)))))</f>
        <v/>
      </c>
      <c r="BR27" s="140" t="str">
        <f aca="false">IF(Z27="","",IF(Z27="AD",3,IF(Z27="A",2,IF(Z27="B",1,IF(Z27="C",0)))))</f>
        <v/>
      </c>
      <c r="BS27" s="140" t="str">
        <f aca="false">IF(AA27="","",IF(AA27="AD",3,IF(AA27="A",2,IF(AA27="B",1,IF(AA27="C",0)))))</f>
        <v/>
      </c>
      <c r="BT27" s="141" t="str">
        <f aca="false">IF(B27="","",IF(COUNT(BP27:BS27)=0,"",ROUND(AVERAGE(BP27:BS27),0)))</f>
        <v/>
      </c>
      <c r="BU27" s="142" t="str">
        <f aca="false">IF(ISERROR(AVERAGE(BD27,BJ27,BO27,BT27)),"",ROUND(AVERAGE(BD27,BJ27,BO27,BT27),0))</f>
        <v/>
      </c>
      <c r="BV27" s="140" t="str">
        <f aca="false">IF(AE27="","",IF(AE27="AD",3,IF(AE27="A",2,IF(AE27="B",1,IF(AE27="C",0)))))</f>
        <v/>
      </c>
      <c r="BW27" s="140" t="str">
        <f aca="false">IF(AF27="","",IF(AF27="AD",3,IF(AF27="A",2,IF(AF27="B",1,IF(AF27="C",0)))))</f>
        <v/>
      </c>
      <c r="BX27" s="140" t="str">
        <f aca="false">IF(AG27="","",IF(AG27="AD",3,IF(AG27="A",2,IF(AG27="B",1,IF(AG27="C",0)))))</f>
        <v/>
      </c>
      <c r="BY27" s="140" t="str">
        <f aca="false">IF(AH27="","",IF(AH27="AD",3,IF(AH27="A",2,IF(AH27="B",1,IF(AH27="C",0)))))</f>
        <v/>
      </c>
      <c r="BZ27" s="141" t="str">
        <f aca="false">IF(B27="","",IF(COUNT(BV27:BY27)=0,"",ROUND(AVERAGE(BV27:BY27),0)))</f>
        <v/>
      </c>
      <c r="CA27" s="140" t="str">
        <f aca="false">IF(AJ27="","",IF(AJ27="AD",3,IF(AJ27="A",2,IF(AJ27="B",1,IF(AJ27="C",0)))))</f>
        <v/>
      </c>
      <c r="CB27" s="140" t="str">
        <f aca="false">IF(AK27="","",IF(AK27="AD",3,IF(AK27="A",2,IF(AK27="B",1,IF(AK27="C",0)))))</f>
        <v/>
      </c>
      <c r="CC27" s="140" t="str">
        <f aca="false">IF(AL27="","",IF(AL27="AD",3,IF(AL27="A",2,IF(AL27="B",1,IF(AL27="C",0)))))</f>
        <v/>
      </c>
      <c r="CD27" s="141" t="str">
        <f aca="false">IF(B27="","",IF(COUNT(CA27:CC27)=0,"",ROUND(AVERAGE(CA27:CC27),0)))</f>
        <v/>
      </c>
    </row>
    <row r="28" customFormat="false" ht="12.75" hidden="false" customHeight="false" outlineLevel="0" collapsed="false">
      <c r="A28" s="130" t="n">
        <v>19</v>
      </c>
      <c r="B28" s="131" t="n">
        <f aca="false">'Datos '!D26</f>
        <v>0</v>
      </c>
      <c r="C28" s="143"/>
      <c r="D28" s="143"/>
      <c r="E28" s="143"/>
      <c r="F28" s="143"/>
      <c r="G28" s="143"/>
      <c r="H28" s="144"/>
      <c r="I28" s="134" t="str">
        <f aca="false">IF(BD28="","",IF(BD28=3,"AD",IF(BD28=2, "A",IF(BD28= 1, "B",IF(BD28= 0, "C")))))</f>
        <v/>
      </c>
      <c r="J28" s="145"/>
      <c r="K28" s="143"/>
      <c r="L28" s="143"/>
      <c r="M28" s="143"/>
      <c r="N28" s="143"/>
      <c r="O28" s="143"/>
      <c r="P28" s="134" t="str">
        <f aca="false">IF(BJ28="","",IF(BJ28=3,"AD",IF(BJ28=2, "A",IF(BJ28= 1, "B",IF(BJ28= 0, "C")))))</f>
        <v/>
      </c>
      <c r="Q28" s="145"/>
      <c r="R28" s="143"/>
      <c r="S28" s="143"/>
      <c r="T28" s="143"/>
      <c r="U28" s="143"/>
      <c r="V28" s="134" t="str">
        <f aca="false">IF(BO28="","",IF(BO28=3,"AD",IF(BO28=2, "A",IF(BO28= 1, "B",IF(BO28= 0, "C")))))</f>
        <v/>
      </c>
      <c r="W28" s="145"/>
      <c r="X28" s="143"/>
      <c r="Y28" s="143"/>
      <c r="Z28" s="143"/>
      <c r="AA28" s="143"/>
      <c r="AB28" s="134" t="str">
        <f aca="false">IF(BT28="","",IF(BT28=3,"AD",IF(BT28=2, "A",IF(BT28= 1, "B",IF(BT28= 0, "C")))))</f>
        <v/>
      </c>
      <c r="AC28" s="146"/>
      <c r="AD28" s="147" t="str">
        <f aca="false">IF(BU28="","",IF(BU28=3,"AD",IF(BU28=2, "A",IF(BU28= 1, "B",IF(BU28= 0, "C")))))</f>
        <v/>
      </c>
      <c r="AE28" s="143"/>
      <c r="AF28" s="143"/>
      <c r="AG28" s="143"/>
      <c r="AH28" s="143"/>
      <c r="AI28" s="138" t="str">
        <f aca="false">IF(BZ28="","",IF(BZ28=3,"AD",IF(BZ28=2, "A",IF(BZ28= 1, "B",IF(BZ28= 0, "C")))))</f>
        <v/>
      </c>
      <c r="AJ28" s="143"/>
      <c r="AK28" s="143"/>
      <c r="AL28" s="143"/>
      <c r="AM28" s="138" t="str">
        <f aca="false">IF(CD28="","",IF(CD28=3,"AD",IF(CD28=2, "A",IF(CD28= 1, "B",IF(CD28= 0, "C")))))</f>
        <v/>
      </c>
      <c r="AN28" s="148" t="str">
        <f aca="false">IF(AD28="","No presenta evidencias para su calificación",IF(AD28="AD","Demuestra aprendizaje que van más allá del nivel esperado",IF(AD28="A","Demuestra manejo satisfactorio en todas las tareas propuestas",IF(AD28="B","Está próximo al nivel esperado para lo cual requiere acompañamiento durante un tiempo razonable",IF(AD28= "C","No logro el desarrollo de las competencias",)))))</f>
        <v>No presenta evidencias para su calificación</v>
      </c>
      <c r="AO28" s="148"/>
      <c r="AP28" s="148"/>
      <c r="AQ28" s="148"/>
      <c r="AR28" s="148"/>
      <c r="AS28" s="148"/>
      <c r="AT28" s="148"/>
      <c r="AU28" s="148"/>
      <c r="AV28" s="148"/>
      <c r="AX28" s="140" t="str">
        <f aca="false">IF(C28="","",IF(C28="AD",3,IF(C28="A",2,IF(C28="B",1,IF(C28="C",0)))))</f>
        <v/>
      </c>
      <c r="AY28" s="140" t="str">
        <f aca="false">IF(D28="","",IF(D28="AD",3,IF(D28="A",2,IF(D28="B",1,IF(D28="C",0)))))</f>
        <v/>
      </c>
      <c r="AZ28" s="140" t="str">
        <f aca="false">IF(E28="","",IF(E28="AD",3,IF(E28="A",2,IF(E28="B",1,IF(E28="C",0)))))</f>
        <v/>
      </c>
      <c r="BA28" s="140" t="str">
        <f aca="false">IF(F28="","",IF(F28="AD",3,IF(F28="A",2,IF(F28="B",1,IF(F28="C",0)))))</f>
        <v/>
      </c>
      <c r="BB28" s="140" t="str">
        <f aca="false">IF(G28="","",IF(G28="AD",3,IF(G28="A",2,IF(G28="B",1,IF(G28="C",0)))))</f>
        <v/>
      </c>
      <c r="BC28" s="140" t="str">
        <f aca="false">IF(H28="","",IF(H28="AD",3,IF(H28="A",2,IF(H28="B",1,IF(H28="C",0)))))</f>
        <v/>
      </c>
      <c r="BD28" s="141" t="str">
        <f aca="false">IF(B28="","",IF(COUNT(AX28:BC28)=0,"",ROUND(AVERAGE(AX28:BC28),0)))</f>
        <v/>
      </c>
      <c r="BE28" s="140" t="str">
        <f aca="false">IF(K28="","",IF(K28="AD",3,IF(K28="A",2,IF(K28="B",1,IF(K28="C",0)))))</f>
        <v/>
      </c>
      <c r="BF28" s="140" t="str">
        <f aca="false">IF(L28="","",IF(L28="AD",3,IF(L28="A",2,IF(L28="B",1,IF(L28="C",0)))))</f>
        <v/>
      </c>
      <c r="BG28" s="140" t="str">
        <f aca="false">IF(M28="","",IF(M28="AD",3,IF(M28="A",2,IF(M28="B",1,IF(M28="C",0)))))</f>
        <v/>
      </c>
      <c r="BH28" s="140" t="str">
        <f aca="false">IF(N28="","",IF(N28="AD",3,IF(N28="A",2,IF(N28="B",1,IF(N28="C",0)))))</f>
        <v/>
      </c>
      <c r="BI28" s="140" t="str">
        <f aca="false">IF(O28="","",IF(O28="AD",3,IF(O28="A",2,IF(O28="B",1,IF(O28="C",0)))))</f>
        <v/>
      </c>
      <c r="BJ28" s="141" t="str">
        <f aca="false">IF(B28="","",IF(COUNT(BE28:BI28)=0,"",ROUND(AVERAGE(BE28:BI28),0)))</f>
        <v/>
      </c>
      <c r="BK28" s="140" t="str">
        <f aca="false">IF(R28="","",IF(R28="AD",3,IF(R28="A",2,IF(R28="B",1,IF(R28="C",0)))))</f>
        <v/>
      </c>
      <c r="BL28" s="140" t="str">
        <f aca="false">IF(S28="","",IF(S28="AD",3,IF(S28="A",2,IF(S28="B",1,IF(S28="C",0)))))</f>
        <v/>
      </c>
      <c r="BM28" s="140" t="str">
        <f aca="false">IF(T28="","",IF(T28="AD",3,IF(T28="A",2,IF(T28="B",1,IF(T28="C",0)))))</f>
        <v/>
      </c>
      <c r="BN28" s="140" t="str">
        <f aca="false">IF(U28="","",IF(U28="AD",3,IF(U28="A",2,IF(U28="B",1,IF(U28="C",0)))))</f>
        <v/>
      </c>
      <c r="BO28" s="141" t="str">
        <f aca="false">IF(B28="","",IF(COUNT(BK28:BN28)=0,"",ROUND(AVERAGE(BK28:BN28),0)))</f>
        <v/>
      </c>
      <c r="BP28" s="140" t="str">
        <f aca="false">IF(X28="","",IF(X28="AD",3,IF(X28="A",2,IF(X28="B",1,IF(X28="C",0)))))</f>
        <v/>
      </c>
      <c r="BQ28" s="140" t="str">
        <f aca="false">IF(Y28="","",IF(Y28="AD",3,IF(Y28="A",2,IF(Y28="B",1,IF(Y28="C",0)))))</f>
        <v/>
      </c>
      <c r="BR28" s="140" t="str">
        <f aca="false">IF(Z28="","",IF(Z28="AD",3,IF(Z28="A",2,IF(Z28="B",1,IF(Z28="C",0)))))</f>
        <v/>
      </c>
      <c r="BS28" s="140" t="str">
        <f aca="false">IF(AA28="","",IF(AA28="AD",3,IF(AA28="A",2,IF(AA28="B",1,IF(AA28="C",0)))))</f>
        <v/>
      </c>
      <c r="BT28" s="141" t="str">
        <f aca="false">IF(B28="","",IF(COUNT(BP28:BS28)=0,"",ROUND(AVERAGE(BP28:BS28),0)))</f>
        <v/>
      </c>
      <c r="BU28" s="142" t="str">
        <f aca="false">IF(ISERROR(AVERAGE(BD28,BJ28,BO28,BT28)),"",ROUND(AVERAGE(BD28,BJ28,BO28,BT28),0))</f>
        <v/>
      </c>
      <c r="BV28" s="140" t="str">
        <f aca="false">IF(AE28="","",IF(AE28="AD",3,IF(AE28="A",2,IF(AE28="B",1,IF(AE28="C",0)))))</f>
        <v/>
      </c>
      <c r="BW28" s="140" t="str">
        <f aca="false">IF(AF28="","",IF(AF28="AD",3,IF(AF28="A",2,IF(AF28="B",1,IF(AF28="C",0)))))</f>
        <v/>
      </c>
      <c r="BX28" s="140" t="str">
        <f aca="false">IF(AG28="","",IF(AG28="AD",3,IF(AG28="A",2,IF(AG28="B",1,IF(AG28="C",0)))))</f>
        <v/>
      </c>
      <c r="BY28" s="140" t="str">
        <f aca="false">IF(AH28="","",IF(AH28="AD",3,IF(AH28="A",2,IF(AH28="B",1,IF(AH28="C",0)))))</f>
        <v/>
      </c>
      <c r="BZ28" s="141" t="str">
        <f aca="false">IF(B28="","",IF(COUNT(BV28:BY28)=0,"",ROUND(AVERAGE(BV28:BY28),0)))</f>
        <v/>
      </c>
      <c r="CA28" s="140" t="str">
        <f aca="false">IF(AJ28="","",IF(AJ28="AD",3,IF(AJ28="A",2,IF(AJ28="B",1,IF(AJ28="C",0)))))</f>
        <v/>
      </c>
      <c r="CB28" s="140" t="str">
        <f aca="false">IF(AK28="","",IF(AK28="AD",3,IF(AK28="A",2,IF(AK28="B",1,IF(AK28="C",0)))))</f>
        <v/>
      </c>
      <c r="CC28" s="140" t="str">
        <f aca="false">IF(AL28="","",IF(AL28="AD",3,IF(AL28="A",2,IF(AL28="B",1,IF(AL28="C",0)))))</f>
        <v/>
      </c>
      <c r="CD28" s="141" t="str">
        <f aca="false">IF(B28="","",IF(COUNT(CA28:CC28)=0,"",ROUND(AVERAGE(CA28:CC28),0)))</f>
        <v/>
      </c>
    </row>
    <row r="29" customFormat="false" ht="12.75" hidden="false" customHeight="false" outlineLevel="0" collapsed="false">
      <c r="A29" s="130" t="n">
        <v>20</v>
      </c>
      <c r="B29" s="131" t="n">
        <f aca="false">'Datos '!D27</f>
        <v>0</v>
      </c>
      <c r="C29" s="143"/>
      <c r="D29" s="143"/>
      <c r="E29" s="143"/>
      <c r="F29" s="143"/>
      <c r="G29" s="143"/>
      <c r="H29" s="144"/>
      <c r="I29" s="134" t="str">
        <f aca="false">IF(BD29="","",IF(BD29=3,"AD",IF(BD29=2, "A",IF(BD29= 1, "B",IF(BD29= 0, "C")))))</f>
        <v/>
      </c>
      <c r="J29" s="145"/>
      <c r="K29" s="143"/>
      <c r="L29" s="143"/>
      <c r="M29" s="143"/>
      <c r="N29" s="143"/>
      <c r="O29" s="143"/>
      <c r="P29" s="134" t="str">
        <f aca="false">IF(BJ29="","",IF(BJ29=3,"AD",IF(BJ29=2, "A",IF(BJ29= 1, "B",IF(BJ29= 0, "C")))))</f>
        <v/>
      </c>
      <c r="Q29" s="145"/>
      <c r="R29" s="143"/>
      <c r="S29" s="143"/>
      <c r="T29" s="143"/>
      <c r="U29" s="143"/>
      <c r="V29" s="134" t="str">
        <f aca="false">IF(BO29="","",IF(BO29=3,"AD",IF(BO29=2, "A",IF(BO29= 1, "B",IF(BO29= 0, "C")))))</f>
        <v/>
      </c>
      <c r="W29" s="145"/>
      <c r="X29" s="143"/>
      <c r="Y29" s="143"/>
      <c r="Z29" s="143"/>
      <c r="AA29" s="143"/>
      <c r="AB29" s="134" t="str">
        <f aca="false">IF(BT29="","",IF(BT29=3,"AD",IF(BT29=2, "A",IF(BT29= 1, "B",IF(BT29= 0, "C")))))</f>
        <v/>
      </c>
      <c r="AC29" s="146"/>
      <c r="AD29" s="147" t="str">
        <f aca="false">IF(BU29="","",IF(BU29=3,"AD",IF(BU29=2, "A",IF(BU29= 1, "B",IF(BU29= 0, "C")))))</f>
        <v/>
      </c>
      <c r="AE29" s="143"/>
      <c r="AF29" s="143"/>
      <c r="AG29" s="143"/>
      <c r="AH29" s="143"/>
      <c r="AI29" s="138" t="str">
        <f aca="false">IF(BZ29="","",IF(BZ29=3,"AD",IF(BZ29=2, "A",IF(BZ29= 1, "B",IF(BZ29= 0, "C")))))</f>
        <v/>
      </c>
      <c r="AJ29" s="143"/>
      <c r="AK29" s="143"/>
      <c r="AL29" s="143"/>
      <c r="AM29" s="138" t="str">
        <f aca="false">IF(CD29="","",IF(CD29=3,"AD",IF(CD29=2, "A",IF(CD29= 1, "B",IF(CD29= 0, "C")))))</f>
        <v/>
      </c>
      <c r="AN29" s="148" t="str">
        <f aca="false">IF(AD29="","No presenta evidencias para su calificación",IF(AD29="AD","Demuestra aprendizaje que van más allá del nivel esperado",IF(AD29="A","Demuestra manejo satisfactorio en todas las tareas propuestas",IF(AD29="B","Está próximo al nivel esperado para lo cual requiere acompañamiento durante un tiempo razonable",IF(AD29= "C","No logro el desarrollo de las competencias",)))))</f>
        <v>No presenta evidencias para su calificación</v>
      </c>
      <c r="AO29" s="148"/>
      <c r="AP29" s="148"/>
      <c r="AQ29" s="148"/>
      <c r="AR29" s="148"/>
      <c r="AS29" s="148"/>
      <c r="AT29" s="148"/>
      <c r="AU29" s="148"/>
      <c r="AV29" s="148"/>
      <c r="AX29" s="140" t="str">
        <f aca="false">IF(C29="","",IF(C29="AD",3,IF(C29="A",2,IF(C29="B",1,IF(C29="C",0)))))</f>
        <v/>
      </c>
      <c r="AY29" s="140" t="str">
        <f aca="false">IF(D29="","",IF(D29="AD",3,IF(D29="A",2,IF(D29="B",1,IF(D29="C",0)))))</f>
        <v/>
      </c>
      <c r="AZ29" s="140" t="str">
        <f aca="false">IF(E29="","",IF(E29="AD",3,IF(E29="A",2,IF(E29="B",1,IF(E29="C",0)))))</f>
        <v/>
      </c>
      <c r="BA29" s="140" t="str">
        <f aca="false">IF(F29="","",IF(F29="AD",3,IF(F29="A",2,IF(F29="B",1,IF(F29="C",0)))))</f>
        <v/>
      </c>
      <c r="BB29" s="140" t="str">
        <f aca="false">IF(G29="","",IF(G29="AD",3,IF(G29="A",2,IF(G29="B",1,IF(G29="C",0)))))</f>
        <v/>
      </c>
      <c r="BC29" s="140" t="str">
        <f aca="false">IF(H29="","",IF(H29="AD",3,IF(H29="A",2,IF(H29="B",1,IF(H29="C",0)))))</f>
        <v/>
      </c>
      <c r="BD29" s="141" t="str">
        <f aca="false">IF(B29="","",IF(COUNT(AX29:BC29)=0,"",ROUND(AVERAGE(AX29:BC29),0)))</f>
        <v/>
      </c>
      <c r="BE29" s="140" t="str">
        <f aca="false">IF(K29="","",IF(K29="AD",3,IF(K29="A",2,IF(K29="B",1,IF(K29="C",0)))))</f>
        <v/>
      </c>
      <c r="BF29" s="140" t="str">
        <f aca="false">IF(L29="","",IF(L29="AD",3,IF(L29="A",2,IF(L29="B",1,IF(L29="C",0)))))</f>
        <v/>
      </c>
      <c r="BG29" s="140" t="str">
        <f aca="false">IF(M29="","",IF(M29="AD",3,IF(M29="A",2,IF(M29="B",1,IF(M29="C",0)))))</f>
        <v/>
      </c>
      <c r="BH29" s="140" t="str">
        <f aca="false">IF(N29="","",IF(N29="AD",3,IF(N29="A",2,IF(N29="B",1,IF(N29="C",0)))))</f>
        <v/>
      </c>
      <c r="BI29" s="140" t="str">
        <f aca="false">IF(O29="","",IF(O29="AD",3,IF(O29="A",2,IF(O29="B",1,IF(O29="C",0)))))</f>
        <v/>
      </c>
      <c r="BJ29" s="141" t="str">
        <f aca="false">IF(B29="","",IF(COUNT(BE29:BI29)=0,"",ROUND(AVERAGE(BE29:BI29),0)))</f>
        <v/>
      </c>
      <c r="BK29" s="140" t="str">
        <f aca="false">IF(R29="","",IF(R29="AD",3,IF(R29="A",2,IF(R29="B",1,IF(R29="C",0)))))</f>
        <v/>
      </c>
      <c r="BL29" s="140" t="str">
        <f aca="false">IF(S29="","",IF(S29="AD",3,IF(S29="A",2,IF(S29="B",1,IF(S29="C",0)))))</f>
        <v/>
      </c>
      <c r="BM29" s="140" t="str">
        <f aca="false">IF(T29="","",IF(T29="AD",3,IF(T29="A",2,IF(T29="B",1,IF(T29="C",0)))))</f>
        <v/>
      </c>
      <c r="BN29" s="140" t="str">
        <f aca="false">IF(U29="","",IF(U29="AD",3,IF(U29="A",2,IF(U29="B",1,IF(U29="C",0)))))</f>
        <v/>
      </c>
      <c r="BO29" s="141" t="str">
        <f aca="false">IF(B29="","",IF(COUNT(BK29:BN29)=0,"",ROUND(AVERAGE(BK29:BN29),0)))</f>
        <v/>
      </c>
      <c r="BP29" s="140" t="str">
        <f aca="false">IF(X29="","",IF(X29="AD",3,IF(X29="A",2,IF(X29="B",1,IF(X29="C",0)))))</f>
        <v/>
      </c>
      <c r="BQ29" s="140" t="str">
        <f aca="false">IF(Y29="","",IF(Y29="AD",3,IF(Y29="A",2,IF(Y29="B",1,IF(Y29="C",0)))))</f>
        <v/>
      </c>
      <c r="BR29" s="140" t="str">
        <f aca="false">IF(Z29="","",IF(Z29="AD",3,IF(Z29="A",2,IF(Z29="B",1,IF(Z29="C",0)))))</f>
        <v/>
      </c>
      <c r="BS29" s="140" t="str">
        <f aca="false">IF(AA29="","",IF(AA29="AD",3,IF(AA29="A",2,IF(AA29="B",1,IF(AA29="C",0)))))</f>
        <v/>
      </c>
      <c r="BT29" s="141" t="str">
        <f aca="false">IF(B29="","",IF(COUNT(BP29:BS29)=0,"",ROUND(AVERAGE(BP29:BS29),0)))</f>
        <v/>
      </c>
      <c r="BU29" s="142" t="str">
        <f aca="false">IF(ISERROR(AVERAGE(BD29,BJ29,BO29,BT29)),"",ROUND(AVERAGE(BD29,BJ29,BO29,BT29),0))</f>
        <v/>
      </c>
      <c r="BV29" s="140" t="str">
        <f aca="false">IF(AE29="","",IF(AE29="AD",3,IF(AE29="A",2,IF(AE29="B",1,IF(AE29="C",0)))))</f>
        <v/>
      </c>
      <c r="BW29" s="140" t="str">
        <f aca="false">IF(AF29="","",IF(AF29="AD",3,IF(AF29="A",2,IF(AF29="B",1,IF(AF29="C",0)))))</f>
        <v/>
      </c>
      <c r="BX29" s="140" t="str">
        <f aca="false">IF(AG29="","",IF(AG29="AD",3,IF(AG29="A",2,IF(AG29="B",1,IF(AG29="C",0)))))</f>
        <v/>
      </c>
      <c r="BY29" s="140" t="str">
        <f aca="false">IF(AH29="","",IF(AH29="AD",3,IF(AH29="A",2,IF(AH29="B",1,IF(AH29="C",0)))))</f>
        <v/>
      </c>
      <c r="BZ29" s="141" t="str">
        <f aca="false">IF(B29="","",IF(COUNT(BV29:BY29)=0,"",ROUND(AVERAGE(BV29:BY29),0)))</f>
        <v/>
      </c>
      <c r="CA29" s="140" t="str">
        <f aca="false">IF(AJ29="","",IF(AJ29="AD",3,IF(AJ29="A",2,IF(AJ29="B",1,IF(AJ29="C",0)))))</f>
        <v/>
      </c>
      <c r="CB29" s="140" t="str">
        <f aca="false">IF(AK29="","",IF(AK29="AD",3,IF(AK29="A",2,IF(AK29="B",1,IF(AK29="C",0)))))</f>
        <v/>
      </c>
      <c r="CC29" s="140" t="str">
        <f aca="false">IF(AL29="","",IF(AL29="AD",3,IF(AL29="A",2,IF(AL29="B",1,IF(AL29="C",0)))))</f>
        <v/>
      </c>
      <c r="CD29" s="141" t="str">
        <f aca="false">IF(B29="","",IF(COUNT(CA29:CC29)=0,"",ROUND(AVERAGE(CA29:CC29),0)))</f>
        <v/>
      </c>
    </row>
    <row r="30" customFormat="false" ht="12.75" hidden="false" customHeight="false" outlineLevel="0" collapsed="false">
      <c r="A30" s="130" t="n">
        <v>21</v>
      </c>
      <c r="B30" s="131" t="n">
        <f aca="false">'Datos '!D28</f>
        <v>0</v>
      </c>
      <c r="C30" s="143"/>
      <c r="D30" s="143"/>
      <c r="E30" s="143"/>
      <c r="F30" s="143"/>
      <c r="G30" s="143"/>
      <c r="H30" s="144"/>
      <c r="I30" s="134" t="str">
        <f aca="false">IF(BD30="","",IF(BD30=3,"AD",IF(BD30=2, "A",IF(BD30= 1, "B",IF(BD30= 0, "C")))))</f>
        <v/>
      </c>
      <c r="J30" s="145"/>
      <c r="K30" s="143"/>
      <c r="L30" s="143"/>
      <c r="M30" s="143"/>
      <c r="N30" s="143"/>
      <c r="O30" s="143"/>
      <c r="P30" s="134" t="str">
        <f aca="false">IF(BJ30="","",IF(BJ30=3,"AD",IF(BJ30=2, "A",IF(BJ30= 1, "B",IF(BJ30= 0, "C")))))</f>
        <v/>
      </c>
      <c r="Q30" s="145"/>
      <c r="R30" s="143"/>
      <c r="S30" s="143"/>
      <c r="T30" s="143"/>
      <c r="U30" s="143"/>
      <c r="V30" s="134" t="str">
        <f aca="false">IF(BO30="","",IF(BO30=3,"AD",IF(BO30=2, "A",IF(BO30= 1, "B",IF(BO30= 0, "C")))))</f>
        <v/>
      </c>
      <c r="W30" s="145"/>
      <c r="X30" s="143"/>
      <c r="Y30" s="143"/>
      <c r="Z30" s="143"/>
      <c r="AA30" s="143"/>
      <c r="AB30" s="134" t="str">
        <f aca="false">IF(BT30="","",IF(BT30=3,"AD",IF(BT30=2, "A",IF(BT30= 1, "B",IF(BT30= 0, "C")))))</f>
        <v/>
      </c>
      <c r="AC30" s="146"/>
      <c r="AD30" s="147" t="str">
        <f aca="false">IF(BU30="","",IF(BU30=3,"AD",IF(BU30=2, "A",IF(BU30= 1, "B",IF(BU30= 0, "C")))))</f>
        <v/>
      </c>
      <c r="AE30" s="143"/>
      <c r="AF30" s="143"/>
      <c r="AG30" s="143"/>
      <c r="AH30" s="143"/>
      <c r="AI30" s="138" t="str">
        <f aca="false">IF(BZ30="","",IF(BZ30=3,"AD",IF(BZ30=2, "A",IF(BZ30= 1, "B",IF(BZ30= 0, "C")))))</f>
        <v/>
      </c>
      <c r="AJ30" s="143"/>
      <c r="AK30" s="143"/>
      <c r="AL30" s="143"/>
      <c r="AM30" s="138" t="str">
        <f aca="false">IF(CD30="","",IF(CD30=3,"AD",IF(CD30=2, "A",IF(CD30= 1, "B",IF(CD30= 0, "C")))))</f>
        <v/>
      </c>
      <c r="AN30" s="148" t="str">
        <f aca="false">IF(AD30="","No presenta evidencias para su calificación",IF(AD30="AD","Demuestra aprendizaje que van más allá del nivel esperado",IF(AD30="A","Demuestra manejo satisfactorio en todas las tareas propuestas",IF(AD30="B","Está próximo al nivel esperado para lo cual requiere acompañamiento durante un tiempo razonable",IF(AD30= "C","No logro el desarrollo de las competencias",)))))</f>
        <v>No presenta evidencias para su calificación</v>
      </c>
      <c r="AO30" s="148"/>
      <c r="AP30" s="148"/>
      <c r="AQ30" s="148"/>
      <c r="AR30" s="148"/>
      <c r="AS30" s="148"/>
      <c r="AT30" s="148"/>
      <c r="AU30" s="148"/>
      <c r="AV30" s="148"/>
      <c r="AX30" s="140" t="str">
        <f aca="false">IF(C30="","",IF(C30="AD",3,IF(C30="A",2,IF(C30="B",1,IF(C30="C",0)))))</f>
        <v/>
      </c>
      <c r="AY30" s="140" t="str">
        <f aca="false">IF(D30="","",IF(D30="AD",3,IF(D30="A",2,IF(D30="B",1,IF(D30="C",0)))))</f>
        <v/>
      </c>
      <c r="AZ30" s="140" t="str">
        <f aca="false">IF(E30="","",IF(E30="AD",3,IF(E30="A",2,IF(E30="B",1,IF(E30="C",0)))))</f>
        <v/>
      </c>
      <c r="BA30" s="140" t="str">
        <f aca="false">IF(F30="","",IF(F30="AD",3,IF(F30="A",2,IF(F30="B",1,IF(F30="C",0)))))</f>
        <v/>
      </c>
      <c r="BB30" s="140" t="str">
        <f aca="false">IF(G30="","",IF(G30="AD",3,IF(G30="A",2,IF(G30="B",1,IF(G30="C",0)))))</f>
        <v/>
      </c>
      <c r="BC30" s="140" t="str">
        <f aca="false">IF(H30="","",IF(H30="AD",3,IF(H30="A",2,IF(H30="B",1,IF(H30="C",0)))))</f>
        <v/>
      </c>
      <c r="BD30" s="141" t="str">
        <f aca="false">IF(B30="","",IF(COUNT(AX30:BC30)=0,"",ROUND(AVERAGE(AX30:BC30),0)))</f>
        <v/>
      </c>
      <c r="BE30" s="140" t="str">
        <f aca="false">IF(K30="","",IF(K30="AD",3,IF(K30="A",2,IF(K30="B",1,IF(K30="C",0)))))</f>
        <v/>
      </c>
      <c r="BF30" s="140" t="str">
        <f aca="false">IF(L30="","",IF(L30="AD",3,IF(L30="A",2,IF(L30="B",1,IF(L30="C",0)))))</f>
        <v/>
      </c>
      <c r="BG30" s="140" t="str">
        <f aca="false">IF(M30="","",IF(M30="AD",3,IF(M30="A",2,IF(M30="B",1,IF(M30="C",0)))))</f>
        <v/>
      </c>
      <c r="BH30" s="140" t="str">
        <f aca="false">IF(N30="","",IF(N30="AD",3,IF(N30="A",2,IF(N30="B",1,IF(N30="C",0)))))</f>
        <v/>
      </c>
      <c r="BI30" s="140" t="str">
        <f aca="false">IF(O30="","",IF(O30="AD",3,IF(O30="A",2,IF(O30="B",1,IF(O30="C",0)))))</f>
        <v/>
      </c>
      <c r="BJ30" s="141" t="str">
        <f aca="false">IF(B30="","",IF(COUNT(BE30:BI30)=0,"",ROUND(AVERAGE(BE30:BI30),0)))</f>
        <v/>
      </c>
      <c r="BK30" s="140" t="str">
        <f aca="false">IF(R30="","",IF(R30="AD",3,IF(R30="A",2,IF(R30="B",1,IF(R30="C",0)))))</f>
        <v/>
      </c>
      <c r="BL30" s="140" t="str">
        <f aca="false">IF(S30="","",IF(S30="AD",3,IF(S30="A",2,IF(S30="B",1,IF(S30="C",0)))))</f>
        <v/>
      </c>
      <c r="BM30" s="140" t="str">
        <f aca="false">IF(T30="","",IF(T30="AD",3,IF(T30="A",2,IF(T30="B",1,IF(T30="C",0)))))</f>
        <v/>
      </c>
      <c r="BN30" s="140" t="str">
        <f aca="false">IF(U30="","",IF(U30="AD",3,IF(U30="A",2,IF(U30="B",1,IF(U30="C",0)))))</f>
        <v/>
      </c>
      <c r="BO30" s="141" t="str">
        <f aca="false">IF(B30="","",IF(COUNT(BK30:BN30)=0,"",ROUND(AVERAGE(BK30:BN30),0)))</f>
        <v/>
      </c>
      <c r="BP30" s="140" t="str">
        <f aca="false">IF(X30="","",IF(X30="AD",3,IF(X30="A",2,IF(X30="B",1,IF(X30="C",0)))))</f>
        <v/>
      </c>
      <c r="BQ30" s="140" t="str">
        <f aca="false">IF(Y30="","",IF(Y30="AD",3,IF(Y30="A",2,IF(Y30="B",1,IF(Y30="C",0)))))</f>
        <v/>
      </c>
      <c r="BR30" s="140" t="str">
        <f aca="false">IF(Z30="","",IF(Z30="AD",3,IF(Z30="A",2,IF(Z30="B",1,IF(Z30="C",0)))))</f>
        <v/>
      </c>
      <c r="BS30" s="140" t="str">
        <f aca="false">IF(AA30="","",IF(AA30="AD",3,IF(AA30="A",2,IF(AA30="B",1,IF(AA30="C",0)))))</f>
        <v/>
      </c>
      <c r="BT30" s="141" t="str">
        <f aca="false">IF(B30="","",IF(COUNT(BP30:BS30)=0,"",ROUND(AVERAGE(BP30:BS30),0)))</f>
        <v/>
      </c>
      <c r="BU30" s="142" t="str">
        <f aca="false">IF(ISERROR(AVERAGE(BD30,BJ30,BO30,BT30)),"",ROUND(AVERAGE(BD30,BJ30,BO30,BT30),0))</f>
        <v/>
      </c>
      <c r="BV30" s="140" t="str">
        <f aca="false">IF(AE30="","",IF(AE30="AD",3,IF(AE30="A",2,IF(AE30="B",1,IF(AE30="C",0)))))</f>
        <v/>
      </c>
      <c r="BW30" s="140" t="str">
        <f aca="false">IF(AF30="","",IF(AF30="AD",3,IF(AF30="A",2,IF(AF30="B",1,IF(AF30="C",0)))))</f>
        <v/>
      </c>
      <c r="BX30" s="140" t="str">
        <f aca="false">IF(AG30="","",IF(AG30="AD",3,IF(AG30="A",2,IF(AG30="B",1,IF(AG30="C",0)))))</f>
        <v/>
      </c>
      <c r="BY30" s="140" t="str">
        <f aca="false">IF(AH30="","",IF(AH30="AD",3,IF(AH30="A",2,IF(AH30="B",1,IF(AH30="C",0)))))</f>
        <v/>
      </c>
      <c r="BZ30" s="141" t="str">
        <f aca="false">IF(B30="","",IF(COUNT(BV30:BY30)=0,"",ROUND(AVERAGE(BV30:BY30),0)))</f>
        <v/>
      </c>
      <c r="CA30" s="140" t="str">
        <f aca="false">IF(AJ30="","",IF(AJ30="AD",3,IF(AJ30="A",2,IF(AJ30="B",1,IF(AJ30="C",0)))))</f>
        <v/>
      </c>
      <c r="CB30" s="140" t="str">
        <f aca="false">IF(AK30="","",IF(AK30="AD",3,IF(AK30="A",2,IF(AK30="B",1,IF(AK30="C",0)))))</f>
        <v/>
      </c>
      <c r="CC30" s="140" t="str">
        <f aca="false">IF(AL30="","",IF(AL30="AD",3,IF(AL30="A",2,IF(AL30="B",1,IF(AL30="C",0)))))</f>
        <v/>
      </c>
      <c r="CD30" s="141" t="str">
        <f aca="false">IF(B30="","",IF(COUNT(CA30:CC30)=0,"",ROUND(AVERAGE(CA30:CC30),0)))</f>
        <v/>
      </c>
    </row>
    <row r="31" customFormat="false" ht="12.75" hidden="false" customHeight="false" outlineLevel="0" collapsed="false">
      <c r="A31" s="130" t="n">
        <v>22</v>
      </c>
      <c r="B31" s="131" t="n">
        <f aca="false">'Datos '!D29</f>
        <v>0</v>
      </c>
      <c r="C31" s="143"/>
      <c r="D31" s="143"/>
      <c r="E31" s="143"/>
      <c r="F31" s="143"/>
      <c r="G31" s="143"/>
      <c r="H31" s="144"/>
      <c r="I31" s="134" t="str">
        <f aca="false">IF(BD31="","",IF(BD31=3,"AD",IF(BD31=2, "A",IF(BD31= 1, "B",IF(BD31= 0, "C")))))</f>
        <v/>
      </c>
      <c r="J31" s="145"/>
      <c r="K31" s="143"/>
      <c r="L31" s="143"/>
      <c r="M31" s="143"/>
      <c r="N31" s="143"/>
      <c r="O31" s="143"/>
      <c r="P31" s="134" t="str">
        <f aca="false">IF(BJ31="","",IF(BJ31=3,"AD",IF(BJ31=2, "A",IF(BJ31= 1, "B",IF(BJ31= 0, "C")))))</f>
        <v/>
      </c>
      <c r="Q31" s="145"/>
      <c r="R31" s="143"/>
      <c r="S31" s="143"/>
      <c r="T31" s="143"/>
      <c r="U31" s="143"/>
      <c r="V31" s="134" t="str">
        <f aca="false">IF(BO31="","",IF(BO31=3,"AD",IF(BO31=2, "A",IF(BO31= 1, "B",IF(BO31= 0, "C")))))</f>
        <v/>
      </c>
      <c r="W31" s="145"/>
      <c r="X31" s="143"/>
      <c r="Y31" s="143"/>
      <c r="Z31" s="143"/>
      <c r="AA31" s="143"/>
      <c r="AB31" s="134" t="str">
        <f aca="false">IF(BT31="","",IF(BT31=3,"AD",IF(BT31=2, "A",IF(BT31= 1, "B",IF(BT31= 0, "C")))))</f>
        <v/>
      </c>
      <c r="AC31" s="146"/>
      <c r="AD31" s="147" t="str">
        <f aca="false">IF(BU31="","",IF(BU31=3,"AD",IF(BU31=2, "A",IF(BU31= 1, "B",IF(BU31= 0, "C")))))</f>
        <v/>
      </c>
      <c r="AE31" s="143"/>
      <c r="AF31" s="143"/>
      <c r="AG31" s="143"/>
      <c r="AH31" s="143"/>
      <c r="AI31" s="138" t="str">
        <f aca="false">IF(BZ31="","",IF(BZ31=3,"AD",IF(BZ31=2, "A",IF(BZ31= 1, "B",IF(BZ31= 0, "C")))))</f>
        <v/>
      </c>
      <c r="AJ31" s="143"/>
      <c r="AK31" s="143"/>
      <c r="AL31" s="143"/>
      <c r="AM31" s="138" t="str">
        <f aca="false">IF(CD31="","",IF(CD31=3,"AD",IF(CD31=2, "A",IF(CD31= 1, "B",IF(CD31= 0, "C")))))</f>
        <v/>
      </c>
      <c r="AN31" s="148" t="str">
        <f aca="false">IF(AD31="","No presenta evidencias para su calificación",IF(AD31="AD","Demuestra aprendizaje que van más allá del nivel esperado",IF(AD31="A","Demuestra manejo satisfactorio en todas las tareas propuestas",IF(AD31="B","Está próximo al nivel esperado para lo cual requiere acompañamiento durante un tiempo razonable",IF(AD31= "C","No logro el desarrollo de las competencias",)))))</f>
        <v>No presenta evidencias para su calificación</v>
      </c>
      <c r="AO31" s="148"/>
      <c r="AP31" s="148"/>
      <c r="AQ31" s="148"/>
      <c r="AR31" s="148"/>
      <c r="AS31" s="148"/>
      <c r="AT31" s="148"/>
      <c r="AU31" s="148"/>
      <c r="AV31" s="148"/>
      <c r="AX31" s="140" t="str">
        <f aca="false">IF(C31="","",IF(C31="AD",3,IF(C31="A",2,IF(C31="B",1,IF(C31="C",0)))))</f>
        <v/>
      </c>
      <c r="AY31" s="140" t="str">
        <f aca="false">IF(D31="","",IF(D31="AD",3,IF(D31="A",2,IF(D31="B",1,IF(D31="C",0)))))</f>
        <v/>
      </c>
      <c r="AZ31" s="140" t="str">
        <f aca="false">IF(E31="","",IF(E31="AD",3,IF(E31="A",2,IF(E31="B",1,IF(E31="C",0)))))</f>
        <v/>
      </c>
      <c r="BA31" s="140" t="str">
        <f aca="false">IF(F31="","",IF(F31="AD",3,IF(F31="A",2,IF(F31="B",1,IF(F31="C",0)))))</f>
        <v/>
      </c>
      <c r="BB31" s="140" t="str">
        <f aca="false">IF(G31="","",IF(G31="AD",3,IF(G31="A",2,IF(G31="B",1,IF(G31="C",0)))))</f>
        <v/>
      </c>
      <c r="BC31" s="140" t="str">
        <f aca="false">IF(H31="","",IF(H31="AD",3,IF(H31="A",2,IF(H31="B",1,IF(H31="C",0)))))</f>
        <v/>
      </c>
      <c r="BD31" s="141" t="str">
        <f aca="false">IF(B31="","",IF(COUNT(AX31:BC31)=0,"",ROUND(AVERAGE(AX31:BC31),0)))</f>
        <v/>
      </c>
      <c r="BE31" s="140" t="str">
        <f aca="false">IF(K31="","",IF(K31="AD",3,IF(K31="A",2,IF(K31="B",1,IF(K31="C",0)))))</f>
        <v/>
      </c>
      <c r="BF31" s="140" t="str">
        <f aca="false">IF(L31="","",IF(L31="AD",3,IF(L31="A",2,IF(L31="B",1,IF(L31="C",0)))))</f>
        <v/>
      </c>
      <c r="BG31" s="140" t="str">
        <f aca="false">IF(M31="","",IF(M31="AD",3,IF(M31="A",2,IF(M31="B",1,IF(M31="C",0)))))</f>
        <v/>
      </c>
      <c r="BH31" s="140" t="str">
        <f aca="false">IF(N31="","",IF(N31="AD",3,IF(N31="A",2,IF(N31="B",1,IF(N31="C",0)))))</f>
        <v/>
      </c>
      <c r="BI31" s="140" t="str">
        <f aca="false">IF(O31="","",IF(O31="AD",3,IF(O31="A",2,IF(O31="B",1,IF(O31="C",0)))))</f>
        <v/>
      </c>
      <c r="BJ31" s="141" t="str">
        <f aca="false">IF(B31="","",IF(COUNT(BE31:BI31)=0,"",ROUND(AVERAGE(BE31:BI31),0)))</f>
        <v/>
      </c>
      <c r="BK31" s="140" t="str">
        <f aca="false">IF(R31="","",IF(R31="AD",3,IF(R31="A",2,IF(R31="B",1,IF(R31="C",0)))))</f>
        <v/>
      </c>
      <c r="BL31" s="140" t="str">
        <f aca="false">IF(S31="","",IF(S31="AD",3,IF(S31="A",2,IF(S31="B",1,IF(S31="C",0)))))</f>
        <v/>
      </c>
      <c r="BM31" s="140" t="str">
        <f aca="false">IF(T31="","",IF(T31="AD",3,IF(T31="A",2,IF(T31="B",1,IF(T31="C",0)))))</f>
        <v/>
      </c>
      <c r="BN31" s="140" t="str">
        <f aca="false">IF(U31="","",IF(U31="AD",3,IF(U31="A",2,IF(U31="B",1,IF(U31="C",0)))))</f>
        <v/>
      </c>
      <c r="BO31" s="141" t="str">
        <f aca="false">IF(B31="","",IF(COUNT(BK31:BN31)=0,"",ROUND(AVERAGE(BK31:BN31),0)))</f>
        <v/>
      </c>
      <c r="BP31" s="140" t="str">
        <f aca="false">IF(X31="","",IF(X31="AD",3,IF(X31="A",2,IF(X31="B",1,IF(X31="C",0)))))</f>
        <v/>
      </c>
      <c r="BQ31" s="140" t="str">
        <f aca="false">IF(Y31="","",IF(Y31="AD",3,IF(Y31="A",2,IF(Y31="B",1,IF(Y31="C",0)))))</f>
        <v/>
      </c>
      <c r="BR31" s="140" t="str">
        <f aca="false">IF(Z31="","",IF(Z31="AD",3,IF(Z31="A",2,IF(Z31="B",1,IF(Z31="C",0)))))</f>
        <v/>
      </c>
      <c r="BS31" s="140" t="str">
        <f aca="false">IF(AA31="","",IF(AA31="AD",3,IF(AA31="A",2,IF(AA31="B",1,IF(AA31="C",0)))))</f>
        <v/>
      </c>
      <c r="BT31" s="141" t="str">
        <f aca="false">IF(B31="","",IF(COUNT(BP31:BS31)=0,"",ROUND(AVERAGE(BP31:BS31),0)))</f>
        <v/>
      </c>
      <c r="BU31" s="142" t="str">
        <f aca="false">IF(ISERROR(AVERAGE(BD31,BJ31,BO31,BT31)),"",ROUND(AVERAGE(BD31,BJ31,BO31,BT31),0))</f>
        <v/>
      </c>
      <c r="BV31" s="140" t="str">
        <f aca="false">IF(AE31="","",IF(AE31="AD",3,IF(AE31="A",2,IF(AE31="B",1,IF(AE31="C",0)))))</f>
        <v/>
      </c>
      <c r="BW31" s="140" t="str">
        <f aca="false">IF(AF31="","",IF(AF31="AD",3,IF(AF31="A",2,IF(AF31="B",1,IF(AF31="C",0)))))</f>
        <v/>
      </c>
      <c r="BX31" s="140" t="str">
        <f aca="false">IF(AG31="","",IF(AG31="AD",3,IF(AG31="A",2,IF(AG31="B",1,IF(AG31="C",0)))))</f>
        <v/>
      </c>
      <c r="BY31" s="140" t="str">
        <f aca="false">IF(AH31="","",IF(AH31="AD",3,IF(AH31="A",2,IF(AH31="B",1,IF(AH31="C",0)))))</f>
        <v/>
      </c>
      <c r="BZ31" s="141" t="str">
        <f aca="false">IF(B31="","",IF(COUNT(BV31:BY31)=0,"",ROUND(AVERAGE(BV31:BY31),0)))</f>
        <v/>
      </c>
      <c r="CA31" s="140" t="str">
        <f aca="false">IF(AJ31="","",IF(AJ31="AD",3,IF(AJ31="A",2,IF(AJ31="B",1,IF(AJ31="C",0)))))</f>
        <v/>
      </c>
      <c r="CB31" s="140" t="str">
        <f aca="false">IF(AK31="","",IF(AK31="AD",3,IF(AK31="A",2,IF(AK31="B",1,IF(AK31="C",0)))))</f>
        <v/>
      </c>
      <c r="CC31" s="140" t="str">
        <f aca="false">IF(AL31="","",IF(AL31="AD",3,IF(AL31="A",2,IF(AL31="B",1,IF(AL31="C",0)))))</f>
        <v/>
      </c>
      <c r="CD31" s="141" t="str">
        <f aca="false">IF(B31="","",IF(COUNT(CA31:CC31)=0,"",ROUND(AVERAGE(CA31:CC31),0)))</f>
        <v/>
      </c>
    </row>
    <row r="32" customFormat="false" ht="12.75" hidden="false" customHeight="false" outlineLevel="0" collapsed="false">
      <c r="A32" s="130" t="n">
        <v>23</v>
      </c>
      <c r="B32" s="131" t="n">
        <f aca="false">'Datos '!D30</f>
        <v>0</v>
      </c>
      <c r="C32" s="143"/>
      <c r="D32" s="143"/>
      <c r="E32" s="143"/>
      <c r="F32" s="143"/>
      <c r="G32" s="143"/>
      <c r="H32" s="144"/>
      <c r="I32" s="134" t="str">
        <f aca="false">IF(BD32="","",IF(BD32=3,"AD",IF(BD32=2, "A",IF(BD32= 1, "B",IF(BD32= 0, "C")))))</f>
        <v/>
      </c>
      <c r="J32" s="145"/>
      <c r="K32" s="143"/>
      <c r="L32" s="143"/>
      <c r="M32" s="143"/>
      <c r="N32" s="143"/>
      <c r="O32" s="143"/>
      <c r="P32" s="134" t="str">
        <f aca="false">IF(BJ32="","",IF(BJ32=3,"AD",IF(BJ32=2, "A",IF(BJ32= 1, "B",IF(BJ32= 0, "C")))))</f>
        <v/>
      </c>
      <c r="Q32" s="145"/>
      <c r="R32" s="143"/>
      <c r="S32" s="143"/>
      <c r="T32" s="143"/>
      <c r="U32" s="143"/>
      <c r="V32" s="134" t="str">
        <f aca="false">IF(BO32="","",IF(BO32=3,"AD",IF(BO32=2, "A",IF(BO32= 1, "B",IF(BO32= 0, "C")))))</f>
        <v/>
      </c>
      <c r="W32" s="145"/>
      <c r="X32" s="143"/>
      <c r="Y32" s="143"/>
      <c r="Z32" s="143"/>
      <c r="AA32" s="143"/>
      <c r="AB32" s="134" t="str">
        <f aca="false">IF(BT32="","",IF(BT32=3,"AD",IF(BT32=2, "A",IF(BT32= 1, "B",IF(BT32= 0, "C")))))</f>
        <v/>
      </c>
      <c r="AC32" s="146"/>
      <c r="AD32" s="147" t="str">
        <f aca="false">IF(BU32="","",IF(BU32=3,"AD",IF(BU32=2, "A",IF(BU32= 1, "B",IF(BU32= 0, "C")))))</f>
        <v/>
      </c>
      <c r="AE32" s="143"/>
      <c r="AF32" s="143"/>
      <c r="AG32" s="143"/>
      <c r="AH32" s="143"/>
      <c r="AI32" s="138" t="str">
        <f aca="false">IF(BZ32="","",IF(BZ32=3,"AD",IF(BZ32=2, "A",IF(BZ32= 1, "B",IF(BZ32= 0, "C")))))</f>
        <v/>
      </c>
      <c r="AJ32" s="143"/>
      <c r="AK32" s="143"/>
      <c r="AL32" s="143"/>
      <c r="AM32" s="138" t="str">
        <f aca="false">IF(CD32="","",IF(CD32=3,"AD",IF(CD32=2, "A",IF(CD32= 1, "B",IF(CD32= 0, "C")))))</f>
        <v/>
      </c>
      <c r="AN32" s="148" t="str">
        <f aca="false">IF(AD32="","No presenta evidencias para su calificación",IF(AD32="AD","Demuestra aprendizaje que van más allá del nivel esperado",IF(AD32="A","Demuestra manejo satisfactorio en todas las tareas propuestas",IF(AD32="B","Está próximo al nivel esperado para lo cual requiere acompañamiento durante un tiempo razonable",IF(AD32= "C","No logro el desarrollo de las competencias",)))))</f>
        <v>No presenta evidencias para su calificación</v>
      </c>
      <c r="AO32" s="148"/>
      <c r="AP32" s="148"/>
      <c r="AQ32" s="148"/>
      <c r="AR32" s="148"/>
      <c r="AS32" s="148"/>
      <c r="AT32" s="148"/>
      <c r="AU32" s="148"/>
      <c r="AV32" s="148"/>
      <c r="AX32" s="140" t="str">
        <f aca="false">IF(C32="","",IF(C32="AD",3,IF(C32="A",2,IF(C32="B",1,IF(C32="C",0)))))</f>
        <v/>
      </c>
      <c r="AY32" s="140" t="str">
        <f aca="false">IF(D32="","",IF(D32="AD",3,IF(D32="A",2,IF(D32="B",1,IF(D32="C",0)))))</f>
        <v/>
      </c>
      <c r="AZ32" s="140" t="str">
        <f aca="false">IF(E32="","",IF(E32="AD",3,IF(E32="A",2,IF(E32="B",1,IF(E32="C",0)))))</f>
        <v/>
      </c>
      <c r="BA32" s="140" t="str">
        <f aca="false">IF(F32="","",IF(F32="AD",3,IF(F32="A",2,IF(F32="B",1,IF(F32="C",0)))))</f>
        <v/>
      </c>
      <c r="BB32" s="140" t="str">
        <f aca="false">IF(G32="","",IF(G32="AD",3,IF(G32="A",2,IF(G32="B",1,IF(G32="C",0)))))</f>
        <v/>
      </c>
      <c r="BC32" s="140" t="str">
        <f aca="false">IF(H32="","",IF(H32="AD",3,IF(H32="A",2,IF(H32="B",1,IF(H32="C",0)))))</f>
        <v/>
      </c>
      <c r="BD32" s="141" t="str">
        <f aca="false">IF(B32="","",IF(COUNT(AX32:BC32)=0,"",ROUND(AVERAGE(AX32:BC32),0)))</f>
        <v/>
      </c>
      <c r="BE32" s="140" t="str">
        <f aca="false">IF(K32="","",IF(K32="AD",3,IF(K32="A",2,IF(K32="B",1,IF(K32="C",0)))))</f>
        <v/>
      </c>
      <c r="BF32" s="140" t="str">
        <f aca="false">IF(L32="","",IF(L32="AD",3,IF(L32="A",2,IF(L32="B",1,IF(L32="C",0)))))</f>
        <v/>
      </c>
      <c r="BG32" s="140" t="str">
        <f aca="false">IF(M32="","",IF(M32="AD",3,IF(M32="A",2,IF(M32="B",1,IF(M32="C",0)))))</f>
        <v/>
      </c>
      <c r="BH32" s="140" t="str">
        <f aca="false">IF(N32="","",IF(N32="AD",3,IF(N32="A",2,IF(N32="B",1,IF(N32="C",0)))))</f>
        <v/>
      </c>
      <c r="BI32" s="140" t="str">
        <f aca="false">IF(O32="","",IF(O32="AD",3,IF(O32="A",2,IF(O32="B",1,IF(O32="C",0)))))</f>
        <v/>
      </c>
      <c r="BJ32" s="141" t="str">
        <f aca="false">IF(B32="","",IF(COUNT(BE32:BI32)=0,"",ROUND(AVERAGE(BE32:BI32),0)))</f>
        <v/>
      </c>
      <c r="BK32" s="140" t="str">
        <f aca="false">IF(R32="","",IF(R32="AD",3,IF(R32="A",2,IF(R32="B",1,IF(R32="C",0)))))</f>
        <v/>
      </c>
      <c r="BL32" s="140" t="str">
        <f aca="false">IF(S32="","",IF(S32="AD",3,IF(S32="A",2,IF(S32="B",1,IF(S32="C",0)))))</f>
        <v/>
      </c>
      <c r="BM32" s="140" t="str">
        <f aca="false">IF(T32="","",IF(T32="AD",3,IF(T32="A",2,IF(T32="B",1,IF(T32="C",0)))))</f>
        <v/>
      </c>
      <c r="BN32" s="140" t="str">
        <f aca="false">IF(U32="","",IF(U32="AD",3,IF(U32="A",2,IF(U32="B",1,IF(U32="C",0)))))</f>
        <v/>
      </c>
      <c r="BO32" s="141" t="str">
        <f aca="false">IF(B32="","",IF(COUNT(BK32:BN32)=0,"",ROUND(AVERAGE(BK32:BN32),0)))</f>
        <v/>
      </c>
      <c r="BP32" s="140" t="str">
        <f aca="false">IF(X32="","",IF(X32="AD",3,IF(X32="A",2,IF(X32="B",1,IF(X32="C",0)))))</f>
        <v/>
      </c>
      <c r="BQ32" s="140" t="str">
        <f aca="false">IF(Y32="","",IF(Y32="AD",3,IF(Y32="A",2,IF(Y32="B",1,IF(Y32="C",0)))))</f>
        <v/>
      </c>
      <c r="BR32" s="140" t="str">
        <f aca="false">IF(Z32="","",IF(Z32="AD",3,IF(Z32="A",2,IF(Z32="B",1,IF(Z32="C",0)))))</f>
        <v/>
      </c>
      <c r="BS32" s="140" t="str">
        <f aca="false">IF(AA32="","",IF(AA32="AD",3,IF(AA32="A",2,IF(AA32="B",1,IF(AA32="C",0)))))</f>
        <v/>
      </c>
      <c r="BT32" s="141" t="str">
        <f aca="false">IF(B32="","",IF(COUNT(BP32:BS32)=0,"",ROUND(AVERAGE(BP32:BS32),0)))</f>
        <v/>
      </c>
      <c r="BU32" s="142" t="str">
        <f aca="false">IF(ISERROR(AVERAGE(BD32,BJ32,BO32,BT32)),"",ROUND(AVERAGE(BD32,BJ32,BO32,BT32),0))</f>
        <v/>
      </c>
      <c r="BV32" s="140" t="str">
        <f aca="false">IF(AE32="","",IF(AE32="AD",3,IF(AE32="A",2,IF(AE32="B",1,IF(AE32="C",0)))))</f>
        <v/>
      </c>
      <c r="BW32" s="140" t="str">
        <f aca="false">IF(AF32="","",IF(AF32="AD",3,IF(AF32="A",2,IF(AF32="B",1,IF(AF32="C",0)))))</f>
        <v/>
      </c>
      <c r="BX32" s="140" t="str">
        <f aca="false">IF(AG32="","",IF(AG32="AD",3,IF(AG32="A",2,IF(AG32="B",1,IF(AG32="C",0)))))</f>
        <v/>
      </c>
      <c r="BY32" s="140" t="str">
        <f aca="false">IF(AH32="","",IF(AH32="AD",3,IF(AH32="A",2,IF(AH32="B",1,IF(AH32="C",0)))))</f>
        <v/>
      </c>
      <c r="BZ32" s="141" t="str">
        <f aca="false">IF(B32="","",IF(COUNT(BV32:BY32)=0,"",ROUND(AVERAGE(BV32:BY32),0)))</f>
        <v/>
      </c>
      <c r="CA32" s="140" t="str">
        <f aca="false">IF(AJ32="","",IF(AJ32="AD",3,IF(AJ32="A",2,IF(AJ32="B",1,IF(AJ32="C",0)))))</f>
        <v/>
      </c>
      <c r="CB32" s="140" t="str">
        <f aca="false">IF(AK32="","",IF(AK32="AD",3,IF(AK32="A",2,IF(AK32="B",1,IF(AK32="C",0)))))</f>
        <v/>
      </c>
      <c r="CC32" s="140" t="str">
        <f aca="false">IF(AL32="","",IF(AL32="AD",3,IF(AL32="A",2,IF(AL32="B",1,IF(AL32="C",0)))))</f>
        <v/>
      </c>
      <c r="CD32" s="141" t="str">
        <f aca="false">IF(B32="","",IF(COUNT(CA32:CC32)=0,"",ROUND(AVERAGE(CA32:CC32),0)))</f>
        <v/>
      </c>
    </row>
    <row r="33" customFormat="false" ht="12.75" hidden="false" customHeight="false" outlineLevel="0" collapsed="false">
      <c r="A33" s="130" t="n">
        <v>24</v>
      </c>
      <c r="B33" s="131" t="n">
        <f aca="false">'Datos '!D31</f>
        <v>0</v>
      </c>
      <c r="C33" s="143"/>
      <c r="D33" s="143"/>
      <c r="E33" s="143"/>
      <c r="F33" s="143"/>
      <c r="G33" s="143"/>
      <c r="H33" s="144"/>
      <c r="I33" s="134" t="str">
        <f aca="false">IF(BD33="","",IF(BD33=3,"AD",IF(BD33=2, "A",IF(BD33= 1, "B",IF(BD33= 0, "C")))))</f>
        <v/>
      </c>
      <c r="J33" s="145"/>
      <c r="K33" s="143"/>
      <c r="L33" s="143"/>
      <c r="M33" s="143"/>
      <c r="N33" s="143"/>
      <c r="O33" s="143"/>
      <c r="P33" s="134" t="str">
        <f aca="false">IF(BJ33="","",IF(BJ33=3,"AD",IF(BJ33=2, "A",IF(BJ33= 1, "B",IF(BJ33= 0, "C")))))</f>
        <v/>
      </c>
      <c r="Q33" s="145"/>
      <c r="R33" s="143"/>
      <c r="S33" s="143"/>
      <c r="T33" s="143"/>
      <c r="U33" s="143"/>
      <c r="V33" s="134" t="str">
        <f aca="false">IF(BO33="","",IF(BO33=3,"AD",IF(BO33=2, "A",IF(BO33= 1, "B",IF(BO33= 0, "C")))))</f>
        <v/>
      </c>
      <c r="W33" s="145"/>
      <c r="X33" s="143"/>
      <c r="Y33" s="143"/>
      <c r="Z33" s="143"/>
      <c r="AA33" s="143"/>
      <c r="AB33" s="134" t="str">
        <f aca="false">IF(BT33="","",IF(BT33=3,"AD",IF(BT33=2, "A",IF(BT33= 1, "B",IF(BT33= 0, "C")))))</f>
        <v/>
      </c>
      <c r="AC33" s="146"/>
      <c r="AD33" s="147" t="str">
        <f aca="false">IF(BU33="","",IF(BU33=3,"AD",IF(BU33=2, "A",IF(BU33= 1, "B",IF(BU33= 0, "C")))))</f>
        <v/>
      </c>
      <c r="AE33" s="143"/>
      <c r="AF33" s="143"/>
      <c r="AG33" s="143"/>
      <c r="AH33" s="143"/>
      <c r="AI33" s="138" t="str">
        <f aca="false">IF(BZ33="","",IF(BZ33=3,"AD",IF(BZ33=2, "A",IF(BZ33= 1, "B",IF(BZ33= 0, "C")))))</f>
        <v/>
      </c>
      <c r="AJ33" s="143"/>
      <c r="AK33" s="143"/>
      <c r="AL33" s="143"/>
      <c r="AM33" s="138" t="str">
        <f aca="false">IF(CD33="","",IF(CD33=3,"AD",IF(CD33=2, "A",IF(CD33= 1, "B",IF(CD33= 0, "C")))))</f>
        <v/>
      </c>
      <c r="AN33" s="148" t="str">
        <f aca="false">IF(AD33="","No presenta evidencias para su calificación",IF(AD33="AD","Demuestra aprendizaje que van más allá del nivel esperado",IF(AD33="A","Demuestra manejo satisfactorio en todas las tareas propuestas",IF(AD33="B","Está próximo al nivel esperado para lo cual requiere acompañamiento durante un tiempo razonable",IF(AD33= "C","No logro el desarrollo de las competencias",)))))</f>
        <v>No presenta evidencias para su calificación</v>
      </c>
      <c r="AO33" s="148"/>
      <c r="AP33" s="148"/>
      <c r="AQ33" s="148"/>
      <c r="AR33" s="148"/>
      <c r="AS33" s="148"/>
      <c r="AT33" s="148"/>
      <c r="AU33" s="148"/>
      <c r="AV33" s="148"/>
      <c r="AX33" s="140" t="str">
        <f aca="false">IF(C33="","",IF(C33="AD",3,IF(C33="A",2,IF(C33="B",1,IF(C33="C",0)))))</f>
        <v/>
      </c>
      <c r="AY33" s="140" t="str">
        <f aca="false">IF(D33="","",IF(D33="AD",3,IF(D33="A",2,IF(D33="B",1,IF(D33="C",0)))))</f>
        <v/>
      </c>
      <c r="AZ33" s="140" t="str">
        <f aca="false">IF(E33="","",IF(E33="AD",3,IF(E33="A",2,IF(E33="B",1,IF(E33="C",0)))))</f>
        <v/>
      </c>
      <c r="BA33" s="140" t="str">
        <f aca="false">IF(F33="","",IF(F33="AD",3,IF(F33="A",2,IF(F33="B",1,IF(F33="C",0)))))</f>
        <v/>
      </c>
      <c r="BB33" s="140" t="str">
        <f aca="false">IF(G33="","",IF(G33="AD",3,IF(G33="A",2,IF(G33="B",1,IF(G33="C",0)))))</f>
        <v/>
      </c>
      <c r="BC33" s="140" t="str">
        <f aca="false">IF(H33="","",IF(H33="AD",3,IF(H33="A",2,IF(H33="B",1,IF(H33="C",0)))))</f>
        <v/>
      </c>
      <c r="BD33" s="141" t="str">
        <f aca="false">IF(B33="","",IF(COUNT(AX33:BC33)=0,"",ROUND(AVERAGE(AX33:BC33),0)))</f>
        <v/>
      </c>
      <c r="BE33" s="140" t="str">
        <f aca="false">IF(K33="","",IF(K33="AD",3,IF(K33="A",2,IF(K33="B",1,IF(K33="C",0)))))</f>
        <v/>
      </c>
      <c r="BF33" s="140" t="str">
        <f aca="false">IF(L33="","",IF(L33="AD",3,IF(L33="A",2,IF(L33="B",1,IF(L33="C",0)))))</f>
        <v/>
      </c>
      <c r="BG33" s="140" t="str">
        <f aca="false">IF(M33="","",IF(M33="AD",3,IF(M33="A",2,IF(M33="B",1,IF(M33="C",0)))))</f>
        <v/>
      </c>
      <c r="BH33" s="140" t="str">
        <f aca="false">IF(N33="","",IF(N33="AD",3,IF(N33="A",2,IF(N33="B",1,IF(N33="C",0)))))</f>
        <v/>
      </c>
      <c r="BI33" s="140" t="str">
        <f aca="false">IF(O33="","",IF(O33="AD",3,IF(O33="A",2,IF(O33="B",1,IF(O33="C",0)))))</f>
        <v/>
      </c>
      <c r="BJ33" s="141" t="str">
        <f aca="false">IF(B33="","",IF(COUNT(BE33:BI33)=0,"",ROUND(AVERAGE(BE33:BI33),0)))</f>
        <v/>
      </c>
      <c r="BK33" s="140" t="str">
        <f aca="false">IF(R33="","",IF(R33="AD",3,IF(R33="A",2,IF(R33="B",1,IF(R33="C",0)))))</f>
        <v/>
      </c>
      <c r="BL33" s="140" t="str">
        <f aca="false">IF(S33="","",IF(S33="AD",3,IF(S33="A",2,IF(S33="B",1,IF(S33="C",0)))))</f>
        <v/>
      </c>
      <c r="BM33" s="140" t="str">
        <f aca="false">IF(T33="","",IF(T33="AD",3,IF(T33="A",2,IF(T33="B",1,IF(T33="C",0)))))</f>
        <v/>
      </c>
      <c r="BN33" s="140" t="str">
        <f aca="false">IF(U33="","",IF(U33="AD",3,IF(U33="A",2,IF(U33="B",1,IF(U33="C",0)))))</f>
        <v/>
      </c>
      <c r="BO33" s="141" t="str">
        <f aca="false">IF(B33="","",IF(COUNT(BK33:BN33)=0,"",ROUND(AVERAGE(BK33:BN33),0)))</f>
        <v/>
      </c>
      <c r="BP33" s="140" t="str">
        <f aca="false">IF(X33="","",IF(X33="AD",3,IF(X33="A",2,IF(X33="B",1,IF(X33="C",0)))))</f>
        <v/>
      </c>
      <c r="BQ33" s="140" t="str">
        <f aca="false">IF(Y33="","",IF(Y33="AD",3,IF(Y33="A",2,IF(Y33="B",1,IF(Y33="C",0)))))</f>
        <v/>
      </c>
      <c r="BR33" s="140" t="str">
        <f aca="false">IF(Z33="","",IF(Z33="AD",3,IF(Z33="A",2,IF(Z33="B",1,IF(Z33="C",0)))))</f>
        <v/>
      </c>
      <c r="BS33" s="140" t="str">
        <f aca="false">IF(AA33="","",IF(AA33="AD",3,IF(AA33="A",2,IF(AA33="B",1,IF(AA33="C",0)))))</f>
        <v/>
      </c>
      <c r="BT33" s="141" t="str">
        <f aca="false">IF(B33="","",IF(COUNT(BP33:BS33)=0,"",ROUND(AVERAGE(BP33:BS33),0)))</f>
        <v/>
      </c>
      <c r="BU33" s="142" t="str">
        <f aca="false">IF(ISERROR(AVERAGE(BD33,BJ33,BO33,BT33)),"",ROUND(AVERAGE(BD33,BJ33,BO33,BT33),0))</f>
        <v/>
      </c>
      <c r="BV33" s="140" t="str">
        <f aca="false">IF(AE33="","",IF(AE33="AD",3,IF(AE33="A",2,IF(AE33="B",1,IF(AE33="C",0)))))</f>
        <v/>
      </c>
      <c r="BW33" s="140" t="str">
        <f aca="false">IF(AF33="","",IF(AF33="AD",3,IF(AF33="A",2,IF(AF33="B",1,IF(AF33="C",0)))))</f>
        <v/>
      </c>
      <c r="BX33" s="140" t="str">
        <f aca="false">IF(AG33="","",IF(AG33="AD",3,IF(AG33="A",2,IF(AG33="B",1,IF(AG33="C",0)))))</f>
        <v/>
      </c>
      <c r="BY33" s="140" t="str">
        <f aca="false">IF(AH33="","",IF(AH33="AD",3,IF(AH33="A",2,IF(AH33="B",1,IF(AH33="C",0)))))</f>
        <v/>
      </c>
      <c r="BZ33" s="141" t="str">
        <f aca="false">IF(B33="","",IF(COUNT(BV33:BY33)=0,"",ROUND(AVERAGE(BV33:BY33),0)))</f>
        <v/>
      </c>
      <c r="CA33" s="140" t="str">
        <f aca="false">IF(AJ33="","",IF(AJ33="AD",3,IF(AJ33="A",2,IF(AJ33="B",1,IF(AJ33="C",0)))))</f>
        <v/>
      </c>
      <c r="CB33" s="140" t="str">
        <f aca="false">IF(AK33="","",IF(AK33="AD",3,IF(AK33="A",2,IF(AK33="B",1,IF(AK33="C",0)))))</f>
        <v/>
      </c>
      <c r="CC33" s="140" t="str">
        <f aca="false">IF(AL33="","",IF(AL33="AD",3,IF(AL33="A",2,IF(AL33="B",1,IF(AL33="C",0)))))</f>
        <v/>
      </c>
      <c r="CD33" s="141" t="str">
        <f aca="false">IF(B33="","",IF(COUNT(CA33:CC33)=0,"",ROUND(AVERAGE(CA33:CC33),0)))</f>
        <v/>
      </c>
    </row>
    <row r="34" customFormat="false" ht="12.75" hidden="false" customHeight="false" outlineLevel="0" collapsed="false">
      <c r="A34" s="130" t="n">
        <v>25</v>
      </c>
      <c r="B34" s="131" t="n">
        <f aca="false">'Datos '!D32</f>
        <v>0</v>
      </c>
      <c r="C34" s="143"/>
      <c r="D34" s="143"/>
      <c r="E34" s="143"/>
      <c r="F34" s="143"/>
      <c r="G34" s="143"/>
      <c r="H34" s="144"/>
      <c r="I34" s="134" t="str">
        <f aca="false">IF(BD34="","",IF(BD34=3,"AD",IF(BD34=2, "A",IF(BD34= 1, "B",IF(BD34= 0, "C")))))</f>
        <v/>
      </c>
      <c r="J34" s="145"/>
      <c r="K34" s="143"/>
      <c r="L34" s="143"/>
      <c r="M34" s="143"/>
      <c r="N34" s="143"/>
      <c r="O34" s="143"/>
      <c r="P34" s="134" t="str">
        <f aca="false">IF(BJ34="","",IF(BJ34=3,"AD",IF(BJ34=2, "A",IF(BJ34= 1, "B",IF(BJ34= 0, "C")))))</f>
        <v/>
      </c>
      <c r="Q34" s="145"/>
      <c r="R34" s="143"/>
      <c r="S34" s="143"/>
      <c r="T34" s="143"/>
      <c r="U34" s="143"/>
      <c r="V34" s="134" t="str">
        <f aca="false">IF(BO34="","",IF(BO34=3,"AD",IF(BO34=2, "A",IF(BO34= 1, "B",IF(BO34= 0, "C")))))</f>
        <v/>
      </c>
      <c r="W34" s="145"/>
      <c r="X34" s="143"/>
      <c r="Y34" s="143"/>
      <c r="Z34" s="143"/>
      <c r="AA34" s="143"/>
      <c r="AB34" s="134" t="str">
        <f aca="false">IF(BT34="","",IF(BT34=3,"AD",IF(BT34=2, "A",IF(BT34= 1, "B",IF(BT34= 0, "C")))))</f>
        <v/>
      </c>
      <c r="AC34" s="146"/>
      <c r="AD34" s="147" t="str">
        <f aca="false">IF(BU34="","",IF(BU34=3,"AD",IF(BU34=2, "A",IF(BU34= 1, "B",IF(BU34= 0, "C")))))</f>
        <v/>
      </c>
      <c r="AE34" s="143"/>
      <c r="AF34" s="143"/>
      <c r="AG34" s="143"/>
      <c r="AH34" s="143"/>
      <c r="AI34" s="138" t="str">
        <f aca="false">IF(BZ34="","",IF(BZ34=3,"AD",IF(BZ34=2, "A",IF(BZ34= 1, "B",IF(BZ34= 0, "C")))))</f>
        <v/>
      </c>
      <c r="AJ34" s="143"/>
      <c r="AK34" s="143"/>
      <c r="AL34" s="143"/>
      <c r="AM34" s="138" t="str">
        <f aca="false">IF(CD34="","",IF(CD34=3,"AD",IF(CD34=2, "A",IF(CD34= 1, "B",IF(CD34= 0, "C")))))</f>
        <v/>
      </c>
      <c r="AN34" s="148" t="str">
        <f aca="false">IF(AD34="","No presenta evidencias para su calificación",IF(AD34="AD","Demuestra aprendizaje que van más allá del nivel esperado",IF(AD34="A","Demuestra manejo satisfactorio en todas las tareas propuestas",IF(AD34="B","Está próximo al nivel esperado para lo cual requiere acompañamiento durante un tiempo razonable",IF(AD34= "C","No logro el desarrollo de las competencias",)))))</f>
        <v>No presenta evidencias para su calificación</v>
      </c>
      <c r="AO34" s="148"/>
      <c r="AP34" s="148"/>
      <c r="AQ34" s="148"/>
      <c r="AR34" s="148"/>
      <c r="AS34" s="148"/>
      <c r="AT34" s="148"/>
      <c r="AU34" s="148"/>
      <c r="AV34" s="148"/>
      <c r="AX34" s="140" t="str">
        <f aca="false">IF(C34="","",IF(C34="AD",3,IF(C34="A",2,IF(C34="B",1,IF(C34="C",0)))))</f>
        <v/>
      </c>
      <c r="AY34" s="140" t="str">
        <f aca="false">IF(D34="","",IF(D34="AD",3,IF(D34="A",2,IF(D34="B",1,IF(D34="C",0)))))</f>
        <v/>
      </c>
      <c r="AZ34" s="140" t="str">
        <f aca="false">IF(E34="","",IF(E34="AD",3,IF(E34="A",2,IF(E34="B",1,IF(E34="C",0)))))</f>
        <v/>
      </c>
      <c r="BA34" s="140" t="str">
        <f aca="false">IF(F34="","",IF(F34="AD",3,IF(F34="A",2,IF(F34="B",1,IF(F34="C",0)))))</f>
        <v/>
      </c>
      <c r="BB34" s="140" t="str">
        <f aca="false">IF(G34="","",IF(G34="AD",3,IF(G34="A",2,IF(G34="B",1,IF(G34="C",0)))))</f>
        <v/>
      </c>
      <c r="BC34" s="140" t="str">
        <f aca="false">IF(H34="","",IF(H34="AD",3,IF(H34="A",2,IF(H34="B",1,IF(H34="C",0)))))</f>
        <v/>
      </c>
      <c r="BD34" s="141" t="str">
        <f aca="false">IF(B34="","",IF(COUNT(AX34:BC34)=0,"",ROUND(AVERAGE(AX34:BC34),0)))</f>
        <v/>
      </c>
      <c r="BE34" s="140" t="str">
        <f aca="false">IF(K34="","",IF(K34="AD",3,IF(K34="A",2,IF(K34="B",1,IF(K34="C",0)))))</f>
        <v/>
      </c>
      <c r="BF34" s="140" t="str">
        <f aca="false">IF(L34="","",IF(L34="AD",3,IF(L34="A",2,IF(L34="B",1,IF(L34="C",0)))))</f>
        <v/>
      </c>
      <c r="BG34" s="140" t="str">
        <f aca="false">IF(M34="","",IF(M34="AD",3,IF(M34="A",2,IF(M34="B",1,IF(M34="C",0)))))</f>
        <v/>
      </c>
      <c r="BH34" s="140" t="str">
        <f aca="false">IF(N34="","",IF(N34="AD",3,IF(N34="A",2,IF(N34="B",1,IF(N34="C",0)))))</f>
        <v/>
      </c>
      <c r="BI34" s="140" t="str">
        <f aca="false">IF(O34="","",IF(O34="AD",3,IF(O34="A",2,IF(O34="B",1,IF(O34="C",0)))))</f>
        <v/>
      </c>
      <c r="BJ34" s="141" t="str">
        <f aca="false">IF(B34="","",IF(COUNT(BE34:BI34)=0,"",ROUND(AVERAGE(BE34:BI34),0)))</f>
        <v/>
      </c>
      <c r="BK34" s="140" t="str">
        <f aca="false">IF(R34="","",IF(R34="AD",3,IF(R34="A",2,IF(R34="B",1,IF(R34="C",0)))))</f>
        <v/>
      </c>
      <c r="BL34" s="140" t="str">
        <f aca="false">IF(S34="","",IF(S34="AD",3,IF(S34="A",2,IF(S34="B",1,IF(S34="C",0)))))</f>
        <v/>
      </c>
      <c r="BM34" s="140" t="str">
        <f aca="false">IF(T34="","",IF(T34="AD",3,IF(T34="A",2,IF(T34="B",1,IF(T34="C",0)))))</f>
        <v/>
      </c>
      <c r="BN34" s="140" t="str">
        <f aca="false">IF(U34="","",IF(U34="AD",3,IF(U34="A",2,IF(U34="B",1,IF(U34="C",0)))))</f>
        <v/>
      </c>
      <c r="BO34" s="141" t="str">
        <f aca="false">IF(B34="","",IF(COUNT(BK34:BN34)=0,"",ROUND(AVERAGE(BK34:BN34),0)))</f>
        <v/>
      </c>
      <c r="BP34" s="140" t="str">
        <f aca="false">IF(X34="","",IF(X34="AD",3,IF(X34="A",2,IF(X34="B",1,IF(X34="C",0)))))</f>
        <v/>
      </c>
      <c r="BQ34" s="140" t="str">
        <f aca="false">IF(Y34="","",IF(Y34="AD",3,IF(Y34="A",2,IF(Y34="B",1,IF(Y34="C",0)))))</f>
        <v/>
      </c>
      <c r="BR34" s="140" t="str">
        <f aca="false">IF(Z34="","",IF(Z34="AD",3,IF(Z34="A",2,IF(Z34="B",1,IF(Z34="C",0)))))</f>
        <v/>
      </c>
      <c r="BS34" s="140" t="str">
        <f aca="false">IF(AA34="","",IF(AA34="AD",3,IF(AA34="A",2,IF(AA34="B",1,IF(AA34="C",0)))))</f>
        <v/>
      </c>
      <c r="BT34" s="141" t="str">
        <f aca="false">IF(B34="","",IF(COUNT(BP34:BS34)=0,"",ROUND(AVERAGE(BP34:BS34),0)))</f>
        <v/>
      </c>
      <c r="BU34" s="142" t="str">
        <f aca="false">IF(ISERROR(AVERAGE(BD34,BJ34,BO34,BT34)),"",ROUND(AVERAGE(BD34,BJ34,BO34,BT34),0))</f>
        <v/>
      </c>
      <c r="BV34" s="140" t="str">
        <f aca="false">IF(AE34="","",IF(AE34="AD",3,IF(AE34="A",2,IF(AE34="B",1,IF(AE34="C",0)))))</f>
        <v/>
      </c>
      <c r="BW34" s="140" t="str">
        <f aca="false">IF(AF34="","",IF(AF34="AD",3,IF(AF34="A",2,IF(AF34="B",1,IF(AF34="C",0)))))</f>
        <v/>
      </c>
      <c r="BX34" s="140" t="str">
        <f aca="false">IF(AG34="","",IF(AG34="AD",3,IF(AG34="A",2,IF(AG34="B",1,IF(AG34="C",0)))))</f>
        <v/>
      </c>
      <c r="BY34" s="140" t="str">
        <f aca="false">IF(AH34="","",IF(AH34="AD",3,IF(AH34="A",2,IF(AH34="B",1,IF(AH34="C",0)))))</f>
        <v/>
      </c>
      <c r="BZ34" s="141" t="str">
        <f aca="false">IF(B34="","",IF(COUNT(BV34:BY34)=0,"",ROUND(AVERAGE(BV34:BY34),0)))</f>
        <v/>
      </c>
      <c r="CA34" s="140" t="str">
        <f aca="false">IF(AJ34="","",IF(AJ34="AD",3,IF(AJ34="A",2,IF(AJ34="B",1,IF(AJ34="C",0)))))</f>
        <v/>
      </c>
      <c r="CB34" s="140" t="str">
        <f aca="false">IF(AK34="","",IF(AK34="AD",3,IF(AK34="A",2,IF(AK34="B",1,IF(AK34="C",0)))))</f>
        <v/>
      </c>
      <c r="CC34" s="140" t="str">
        <f aca="false">IF(AL34="","",IF(AL34="AD",3,IF(AL34="A",2,IF(AL34="B",1,IF(AL34="C",0)))))</f>
        <v/>
      </c>
      <c r="CD34" s="141" t="str">
        <f aca="false">IF(B34="","",IF(COUNT(CA34:CC34)=0,"",ROUND(AVERAGE(CA34:CC34),0)))</f>
        <v/>
      </c>
    </row>
    <row r="35" customFormat="false" ht="12.75" hidden="false" customHeight="false" outlineLevel="0" collapsed="false">
      <c r="A35" s="130" t="n">
        <v>26</v>
      </c>
      <c r="B35" s="131" t="n">
        <f aca="false">'Datos '!D33</f>
        <v>0</v>
      </c>
      <c r="C35" s="143"/>
      <c r="D35" s="143"/>
      <c r="E35" s="143"/>
      <c r="F35" s="143"/>
      <c r="G35" s="143"/>
      <c r="H35" s="144"/>
      <c r="I35" s="134" t="str">
        <f aca="false">IF(BD35="","",IF(BD35=3,"AD",IF(BD35=2, "A",IF(BD35= 1, "B",IF(BD35= 0, "C")))))</f>
        <v/>
      </c>
      <c r="J35" s="145"/>
      <c r="K35" s="143"/>
      <c r="L35" s="143"/>
      <c r="M35" s="143"/>
      <c r="N35" s="143"/>
      <c r="O35" s="143"/>
      <c r="P35" s="134" t="str">
        <f aca="false">IF(BJ35="","",IF(BJ35=3,"AD",IF(BJ35=2, "A",IF(BJ35= 1, "B",IF(BJ35= 0, "C")))))</f>
        <v/>
      </c>
      <c r="Q35" s="145"/>
      <c r="R35" s="143"/>
      <c r="S35" s="143"/>
      <c r="T35" s="143"/>
      <c r="U35" s="143"/>
      <c r="V35" s="134" t="str">
        <f aca="false">IF(BO35="","",IF(BO35=3,"AD",IF(BO35=2, "A",IF(BO35= 1, "B",IF(BO35= 0, "C")))))</f>
        <v/>
      </c>
      <c r="W35" s="145"/>
      <c r="X35" s="143"/>
      <c r="Y35" s="143"/>
      <c r="Z35" s="143"/>
      <c r="AA35" s="143"/>
      <c r="AB35" s="134" t="str">
        <f aca="false">IF(BT35="","",IF(BT35=3,"AD",IF(BT35=2, "A",IF(BT35= 1, "B",IF(BT35= 0, "C")))))</f>
        <v/>
      </c>
      <c r="AC35" s="146"/>
      <c r="AD35" s="147" t="str">
        <f aca="false">IF(BU35="","",IF(BU35=3,"AD",IF(BU35=2, "A",IF(BU35= 1, "B",IF(BU35= 0, "C")))))</f>
        <v/>
      </c>
      <c r="AE35" s="143"/>
      <c r="AF35" s="143"/>
      <c r="AG35" s="143"/>
      <c r="AH35" s="143"/>
      <c r="AI35" s="138" t="str">
        <f aca="false">IF(BZ35="","",IF(BZ35=3,"AD",IF(BZ35=2, "A",IF(BZ35= 1, "B",IF(BZ35= 0, "C")))))</f>
        <v/>
      </c>
      <c r="AJ35" s="143"/>
      <c r="AK35" s="143"/>
      <c r="AL35" s="143"/>
      <c r="AM35" s="138" t="str">
        <f aca="false">IF(CD35="","",IF(CD35=3,"AD",IF(CD35=2, "A",IF(CD35= 1, "B",IF(CD35= 0, "C")))))</f>
        <v/>
      </c>
      <c r="AN35" s="148" t="str">
        <f aca="false">IF(AD35="","No presenta evidencias para su calificación",IF(AD35="AD","Demuestra aprendizaje que van más allá del nivel esperado",IF(AD35="A","Demuestra manejo satisfactorio en todas las tareas propuestas",IF(AD35="B","Está próximo al nivel esperado para lo cual requiere acompañamiento durante un tiempo razonable",IF(AD35= "C","No logro el desarrollo de las competencias",)))))</f>
        <v>No presenta evidencias para su calificación</v>
      </c>
      <c r="AO35" s="148"/>
      <c r="AP35" s="148"/>
      <c r="AQ35" s="148"/>
      <c r="AR35" s="148"/>
      <c r="AS35" s="148"/>
      <c r="AT35" s="148"/>
      <c r="AU35" s="148"/>
      <c r="AV35" s="148"/>
      <c r="AX35" s="140" t="str">
        <f aca="false">IF(C35="","",IF(C35="AD",3,IF(C35="A",2,IF(C35="B",1,IF(C35="C",0)))))</f>
        <v/>
      </c>
      <c r="AY35" s="140" t="str">
        <f aca="false">IF(D35="","",IF(D35="AD",3,IF(D35="A",2,IF(D35="B",1,IF(D35="C",0)))))</f>
        <v/>
      </c>
      <c r="AZ35" s="140" t="str">
        <f aca="false">IF(E35="","",IF(E35="AD",3,IF(E35="A",2,IF(E35="B",1,IF(E35="C",0)))))</f>
        <v/>
      </c>
      <c r="BA35" s="140" t="str">
        <f aca="false">IF(F35="","",IF(F35="AD",3,IF(F35="A",2,IF(F35="B",1,IF(F35="C",0)))))</f>
        <v/>
      </c>
      <c r="BB35" s="140" t="str">
        <f aca="false">IF(G35="","",IF(G35="AD",3,IF(G35="A",2,IF(G35="B",1,IF(G35="C",0)))))</f>
        <v/>
      </c>
      <c r="BC35" s="140" t="str">
        <f aca="false">IF(H35="","",IF(H35="AD",3,IF(H35="A",2,IF(H35="B",1,IF(H35="C",0)))))</f>
        <v/>
      </c>
      <c r="BD35" s="141" t="str">
        <f aca="false">IF(B35="","",IF(COUNT(AX35:BC35)=0,"",ROUND(AVERAGE(AX35:BC35),0)))</f>
        <v/>
      </c>
      <c r="BE35" s="140" t="str">
        <f aca="false">IF(K35="","",IF(K35="AD",3,IF(K35="A",2,IF(K35="B",1,IF(K35="C",0)))))</f>
        <v/>
      </c>
      <c r="BF35" s="140" t="str">
        <f aca="false">IF(L35="","",IF(L35="AD",3,IF(L35="A",2,IF(L35="B",1,IF(L35="C",0)))))</f>
        <v/>
      </c>
      <c r="BG35" s="140" t="str">
        <f aca="false">IF(M35="","",IF(M35="AD",3,IF(M35="A",2,IF(M35="B",1,IF(M35="C",0)))))</f>
        <v/>
      </c>
      <c r="BH35" s="140" t="str">
        <f aca="false">IF(N35="","",IF(N35="AD",3,IF(N35="A",2,IF(N35="B",1,IF(N35="C",0)))))</f>
        <v/>
      </c>
      <c r="BI35" s="140" t="str">
        <f aca="false">IF(O35="","",IF(O35="AD",3,IF(O35="A",2,IF(O35="B",1,IF(O35="C",0)))))</f>
        <v/>
      </c>
      <c r="BJ35" s="141" t="str">
        <f aca="false">IF(B35="","",IF(COUNT(BE35:BI35)=0,"",ROUND(AVERAGE(BE35:BI35),0)))</f>
        <v/>
      </c>
      <c r="BK35" s="140" t="str">
        <f aca="false">IF(R35="","",IF(R35="AD",3,IF(R35="A",2,IF(R35="B",1,IF(R35="C",0)))))</f>
        <v/>
      </c>
      <c r="BL35" s="140" t="str">
        <f aca="false">IF(S35="","",IF(S35="AD",3,IF(S35="A",2,IF(S35="B",1,IF(S35="C",0)))))</f>
        <v/>
      </c>
      <c r="BM35" s="140" t="str">
        <f aca="false">IF(T35="","",IF(T35="AD",3,IF(T35="A",2,IF(T35="B",1,IF(T35="C",0)))))</f>
        <v/>
      </c>
      <c r="BN35" s="140" t="str">
        <f aca="false">IF(U35="","",IF(U35="AD",3,IF(U35="A",2,IF(U35="B",1,IF(U35="C",0)))))</f>
        <v/>
      </c>
      <c r="BO35" s="141" t="str">
        <f aca="false">IF(B35="","",IF(COUNT(BK35:BN35)=0,"",ROUND(AVERAGE(BK35:BN35),0)))</f>
        <v/>
      </c>
      <c r="BP35" s="140" t="str">
        <f aca="false">IF(X35="","",IF(X35="AD",3,IF(X35="A",2,IF(X35="B",1,IF(X35="C",0)))))</f>
        <v/>
      </c>
      <c r="BQ35" s="140" t="str">
        <f aca="false">IF(Y35="","",IF(Y35="AD",3,IF(Y35="A",2,IF(Y35="B",1,IF(Y35="C",0)))))</f>
        <v/>
      </c>
      <c r="BR35" s="140" t="str">
        <f aca="false">IF(Z35="","",IF(Z35="AD",3,IF(Z35="A",2,IF(Z35="B",1,IF(Z35="C",0)))))</f>
        <v/>
      </c>
      <c r="BS35" s="140" t="str">
        <f aca="false">IF(AA35="","",IF(AA35="AD",3,IF(AA35="A",2,IF(AA35="B",1,IF(AA35="C",0)))))</f>
        <v/>
      </c>
      <c r="BT35" s="141" t="str">
        <f aca="false">IF(B35="","",IF(COUNT(BP35:BS35)=0,"",ROUND(AVERAGE(BP35:BS35),0)))</f>
        <v/>
      </c>
      <c r="BU35" s="142" t="str">
        <f aca="false">IF(ISERROR(AVERAGE(BD35,BJ35,BO35,BT35)),"",ROUND(AVERAGE(BD35,BJ35,BO35,BT35),0))</f>
        <v/>
      </c>
      <c r="BV35" s="140" t="str">
        <f aca="false">IF(AE35="","",IF(AE35="AD",3,IF(AE35="A",2,IF(AE35="B",1,IF(AE35="C",0)))))</f>
        <v/>
      </c>
      <c r="BW35" s="140" t="str">
        <f aca="false">IF(AF35="","",IF(AF35="AD",3,IF(AF35="A",2,IF(AF35="B",1,IF(AF35="C",0)))))</f>
        <v/>
      </c>
      <c r="BX35" s="140" t="str">
        <f aca="false">IF(AG35="","",IF(AG35="AD",3,IF(AG35="A",2,IF(AG35="B",1,IF(AG35="C",0)))))</f>
        <v/>
      </c>
      <c r="BY35" s="140" t="str">
        <f aca="false">IF(AH35="","",IF(AH35="AD",3,IF(AH35="A",2,IF(AH35="B",1,IF(AH35="C",0)))))</f>
        <v/>
      </c>
      <c r="BZ35" s="141" t="str">
        <f aca="false">IF(B35="","",IF(COUNT(BV35:BY35)=0,"",ROUND(AVERAGE(BV35:BY35),0)))</f>
        <v/>
      </c>
      <c r="CA35" s="140" t="str">
        <f aca="false">IF(AJ35="","",IF(AJ35="AD",3,IF(AJ35="A",2,IF(AJ35="B",1,IF(AJ35="C",0)))))</f>
        <v/>
      </c>
      <c r="CB35" s="140" t="str">
        <f aca="false">IF(AK35="","",IF(AK35="AD",3,IF(AK35="A",2,IF(AK35="B",1,IF(AK35="C",0)))))</f>
        <v/>
      </c>
      <c r="CC35" s="140" t="str">
        <f aca="false">IF(AL35="","",IF(AL35="AD",3,IF(AL35="A",2,IF(AL35="B",1,IF(AL35="C",0)))))</f>
        <v/>
      </c>
      <c r="CD35" s="141" t="str">
        <f aca="false">IF(B35="","",IF(COUNT(CA35:CC35)=0,"",ROUND(AVERAGE(CA35:CC35),0)))</f>
        <v/>
      </c>
    </row>
    <row r="36" customFormat="false" ht="12.75" hidden="false" customHeight="false" outlineLevel="0" collapsed="false">
      <c r="A36" s="130" t="n">
        <v>27</v>
      </c>
      <c r="B36" s="131" t="n">
        <f aca="false">'Datos '!D34</f>
        <v>0</v>
      </c>
      <c r="C36" s="143"/>
      <c r="D36" s="143"/>
      <c r="E36" s="143"/>
      <c r="F36" s="143"/>
      <c r="G36" s="143"/>
      <c r="H36" s="144"/>
      <c r="I36" s="134" t="str">
        <f aca="false">IF(BD36="","",IF(BD36=3,"AD",IF(BD36=2, "A",IF(BD36= 1, "B",IF(BD36= 0, "C")))))</f>
        <v/>
      </c>
      <c r="J36" s="145"/>
      <c r="K36" s="143"/>
      <c r="L36" s="143"/>
      <c r="M36" s="143"/>
      <c r="N36" s="143"/>
      <c r="O36" s="143"/>
      <c r="P36" s="134" t="str">
        <f aca="false">IF(BJ36="","",IF(BJ36=3,"AD",IF(BJ36=2, "A",IF(BJ36= 1, "B",IF(BJ36= 0, "C")))))</f>
        <v/>
      </c>
      <c r="Q36" s="145"/>
      <c r="R36" s="143"/>
      <c r="S36" s="143"/>
      <c r="T36" s="143"/>
      <c r="U36" s="143"/>
      <c r="V36" s="134" t="str">
        <f aca="false">IF(BO36="","",IF(BO36=3,"AD",IF(BO36=2, "A",IF(BO36= 1, "B",IF(BO36= 0, "C")))))</f>
        <v/>
      </c>
      <c r="W36" s="145"/>
      <c r="X36" s="143"/>
      <c r="Y36" s="143"/>
      <c r="Z36" s="143"/>
      <c r="AA36" s="143"/>
      <c r="AB36" s="134" t="str">
        <f aca="false">IF(BT36="","",IF(BT36=3,"AD",IF(BT36=2, "A",IF(BT36= 1, "B",IF(BT36= 0, "C")))))</f>
        <v/>
      </c>
      <c r="AC36" s="146"/>
      <c r="AD36" s="147" t="str">
        <f aca="false">IF(BU36="","",IF(BU36=3,"AD",IF(BU36=2, "A",IF(BU36= 1, "B",IF(BU36= 0, "C")))))</f>
        <v/>
      </c>
      <c r="AE36" s="143"/>
      <c r="AF36" s="143"/>
      <c r="AG36" s="143"/>
      <c r="AH36" s="143"/>
      <c r="AI36" s="138" t="str">
        <f aca="false">IF(BZ36="","",IF(BZ36=3,"AD",IF(BZ36=2, "A",IF(BZ36= 1, "B",IF(BZ36= 0, "C")))))</f>
        <v/>
      </c>
      <c r="AJ36" s="143"/>
      <c r="AK36" s="143"/>
      <c r="AL36" s="143"/>
      <c r="AM36" s="138" t="str">
        <f aca="false">IF(CD36="","",IF(CD36=3,"AD",IF(CD36=2, "A",IF(CD36= 1, "B",IF(CD36= 0, "C")))))</f>
        <v/>
      </c>
      <c r="AN36" s="148" t="str">
        <f aca="false">IF(AD36="","No presenta evidencias para su calificación",IF(AD36="AD","Demuestra aprendizaje que van más allá del nivel esperado",IF(AD36="A","Demuestra manejo satisfactorio en todas las tareas propuestas",IF(AD36="B","Está próximo al nivel esperado para lo cual requiere acompañamiento durante un tiempo razonable",IF(AD36= "C","No logro el desarrollo de las competencias",)))))</f>
        <v>No presenta evidencias para su calificación</v>
      </c>
      <c r="AO36" s="148"/>
      <c r="AP36" s="148"/>
      <c r="AQ36" s="148"/>
      <c r="AR36" s="148"/>
      <c r="AS36" s="148"/>
      <c r="AT36" s="148"/>
      <c r="AU36" s="148"/>
      <c r="AV36" s="148"/>
      <c r="AX36" s="140" t="str">
        <f aca="false">IF(C36="","",IF(C36="AD",3,IF(C36="A",2,IF(C36="B",1,IF(C36="C",0)))))</f>
        <v/>
      </c>
      <c r="AY36" s="140" t="str">
        <f aca="false">IF(D36="","",IF(D36="AD",3,IF(D36="A",2,IF(D36="B",1,IF(D36="C",0)))))</f>
        <v/>
      </c>
      <c r="AZ36" s="140" t="str">
        <f aca="false">IF(E36="","",IF(E36="AD",3,IF(E36="A",2,IF(E36="B",1,IF(E36="C",0)))))</f>
        <v/>
      </c>
      <c r="BA36" s="140" t="str">
        <f aca="false">IF(F36="","",IF(F36="AD",3,IF(F36="A",2,IF(F36="B",1,IF(F36="C",0)))))</f>
        <v/>
      </c>
      <c r="BB36" s="140" t="str">
        <f aca="false">IF(G36="","",IF(G36="AD",3,IF(G36="A",2,IF(G36="B",1,IF(G36="C",0)))))</f>
        <v/>
      </c>
      <c r="BC36" s="140" t="str">
        <f aca="false">IF(H36="","",IF(H36="AD",3,IF(H36="A",2,IF(H36="B",1,IF(H36="C",0)))))</f>
        <v/>
      </c>
      <c r="BD36" s="141" t="str">
        <f aca="false">IF(B36="","",IF(COUNT(AX36:BC36)=0,"",ROUND(AVERAGE(AX36:BC36),0)))</f>
        <v/>
      </c>
      <c r="BE36" s="140" t="str">
        <f aca="false">IF(K36="","",IF(K36="AD",3,IF(K36="A",2,IF(K36="B",1,IF(K36="C",0)))))</f>
        <v/>
      </c>
      <c r="BF36" s="140" t="str">
        <f aca="false">IF(L36="","",IF(L36="AD",3,IF(L36="A",2,IF(L36="B",1,IF(L36="C",0)))))</f>
        <v/>
      </c>
      <c r="BG36" s="140" t="str">
        <f aca="false">IF(M36="","",IF(M36="AD",3,IF(M36="A",2,IF(M36="B",1,IF(M36="C",0)))))</f>
        <v/>
      </c>
      <c r="BH36" s="140" t="str">
        <f aca="false">IF(N36="","",IF(N36="AD",3,IF(N36="A",2,IF(N36="B",1,IF(N36="C",0)))))</f>
        <v/>
      </c>
      <c r="BI36" s="140" t="str">
        <f aca="false">IF(O36="","",IF(O36="AD",3,IF(O36="A",2,IF(O36="B",1,IF(O36="C",0)))))</f>
        <v/>
      </c>
      <c r="BJ36" s="141" t="str">
        <f aca="false">IF(B36="","",IF(COUNT(BE36:BI36)=0,"",ROUND(AVERAGE(BE36:BI36),0)))</f>
        <v/>
      </c>
      <c r="BK36" s="140" t="str">
        <f aca="false">IF(R36="","",IF(R36="AD",3,IF(R36="A",2,IF(R36="B",1,IF(R36="C",0)))))</f>
        <v/>
      </c>
      <c r="BL36" s="140" t="str">
        <f aca="false">IF(S36="","",IF(S36="AD",3,IF(S36="A",2,IF(S36="B",1,IF(S36="C",0)))))</f>
        <v/>
      </c>
      <c r="BM36" s="140" t="str">
        <f aca="false">IF(T36="","",IF(T36="AD",3,IF(T36="A",2,IF(T36="B",1,IF(T36="C",0)))))</f>
        <v/>
      </c>
      <c r="BN36" s="140" t="str">
        <f aca="false">IF(U36="","",IF(U36="AD",3,IF(U36="A",2,IF(U36="B",1,IF(U36="C",0)))))</f>
        <v/>
      </c>
      <c r="BO36" s="141" t="str">
        <f aca="false">IF(B36="","",IF(COUNT(BK36:BN36)=0,"",ROUND(AVERAGE(BK36:BN36),0)))</f>
        <v/>
      </c>
      <c r="BP36" s="140" t="str">
        <f aca="false">IF(X36="","",IF(X36="AD",3,IF(X36="A",2,IF(X36="B",1,IF(X36="C",0)))))</f>
        <v/>
      </c>
      <c r="BQ36" s="140" t="str">
        <f aca="false">IF(Y36="","",IF(Y36="AD",3,IF(Y36="A",2,IF(Y36="B",1,IF(Y36="C",0)))))</f>
        <v/>
      </c>
      <c r="BR36" s="140" t="str">
        <f aca="false">IF(Z36="","",IF(Z36="AD",3,IF(Z36="A",2,IF(Z36="B",1,IF(Z36="C",0)))))</f>
        <v/>
      </c>
      <c r="BS36" s="140" t="str">
        <f aca="false">IF(AA36="","",IF(AA36="AD",3,IF(AA36="A",2,IF(AA36="B",1,IF(AA36="C",0)))))</f>
        <v/>
      </c>
      <c r="BT36" s="141" t="str">
        <f aca="false">IF(B36="","",IF(COUNT(BP36:BS36)=0,"",ROUND(AVERAGE(BP36:BS36),0)))</f>
        <v/>
      </c>
      <c r="BU36" s="142" t="str">
        <f aca="false">IF(ISERROR(AVERAGE(BD36,BJ36,BO36,BT36)),"",ROUND(AVERAGE(BD36,BJ36,BO36,BT36),0))</f>
        <v/>
      </c>
      <c r="BV36" s="140" t="str">
        <f aca="false">IF(AE36="","",IF(AE36="AD",3,IF(AE36="A",2,IF(AE36="B",1,IF(AE36="C",0)))))</f>
        <v/>
      </c>
      <c r="BW36" s="140" t="str">
        <f aca="false">IF(AF36="","",IF(AF36="AD",3,IF(AF36="A",2,IF(AF36="B",1,IF(AF36="C",0)))))</f>
        <v/>
      </c>
      <c r="BX36" s="140" t="str">
        <f aca="false">IF(AG36="","",IF(AG36="AD",3,IF(AG36="A",2,IF(AG36="B",1,IF(AG36="C",0)))))</f>
        <v/>
      </c>
      <c r="BY36" s="140" t="str">
        <f aca="false">IF(AH36="","",IF(AH36="AD",3,IF(AH36="A",2,IF(AH36="B",1,IF(AH36="C",0)))))</f>
        <v/>
      </c>
      <c r="BZ36" s="141" t="str">
        <f aca="false">IF(B36="","",IF(COUNT(BV36:BY36)=0,"",ROUND(AVERAGE(BV36:BY36),0)))</f>
        <v/>
      </c>
      <c r="CA36" s="140" t="str">
        <f aca="false">IF(AJ36="","",IF(AJ36="AD",3,IF(AJ36="A",2,IF(AJ36="B",1,IF(AJ36="C",0)))))</f>
        <v/>
      </c>
      <c r="CB36" s="140" t="str">
        <f aca="false">IF(AK36="","",IF(AK36="AD",3,IF(AK36="A",2,IF(AK36="B",1,IF(AK36="C",0)))))</f>
        <v/>
      </c>
      <c r="CC36" s="140" t="str">
        <f aca="false">IF(AL36="","",IF(AL36="AD",3,IF(AL36="A",2,IF(AL36="B",1,IF(AL36="C",0)))))</f>
        <v/>
      </c>
      <c r="CD36" s="141" t="str">
        <f aca="false">IF(B36="","",IF(COUNT(CA36:CC36)=0,"",ROUND(AVERAGE(CA36:CC36),0)))</f>
        <v/>
      </c>
    </row>
    <row r="37" customFormat="false" ht="12.75" hidden="false" customHeight="false" outlineLevel="0" collapsed="false">
      <c r="A37" s="130" t="n">
        <v>28</v>
      </c>
      <c r="B37" s="131" t="n">
        <f aca="false">'Datos '!D35</f>
        <v>0</v>
      </c>
      <c r="C37" s="143"/>
      <c r="D37" s="143"/>
      <c r="E37" s="143"/>
      <c r="F37" s="143"/>
      <c r="G37" s="143"/>
      <c r="H37" s="144"/>
      <c r="I37" s="134" t="str">
        <f aca="false">IF(BD37="","",IF(BD37=3,"AD",IF(BD37=2, "A",IF(BD37= 1, "B",IF(BD37= 0, "C")))))</f>
        <v/>
      </c>
      <c r="J37" s="145"/>
      <c r="K37" s="143"/>
      <c r="L37" s="143"/>
      <c r="M37" s="143"/>
      <c r="N37" s="143"/>
      <c r="O37" s="143"/>
      <c r="P37" s="134" t="str">
        <f aca="false">IF(BJ37="","",IF(BJ37=3,"AD",IF(BJ37=2, "A",IF(BJ37= 1, "B",IF(BJ37= 0, "C")))))</f>
        <v/>
      </c>
      <c r="Q37" s="145"/>
      <c r="R37" s="143"/>
      <c r="S37" s="143"/>
      <c r="T37" s="143"/>
      <c r="U37" s="143"/>
      <c r="V37" s="134" t="str">
        <f aca="false">IF(BO37="","",IF(BO37=3,"AD",IF(BO37=2, "A",IF(BO37= 1, "B",IF(BO37= 0, "C")))))</f>
        <v/>
      </c>
      <c r="W37" s="145"/>
      <c r="X37" s="143"/>
      <c r="Y37" s="143"/>
      <c r="Z37" s="143"/>
      <c r="AA37" s="143"/>
      <c r="AB37" s="134" t="str">
        <f aca="false">IF(BT37="","",IF(BT37=3,"AD",IF(BT37=2, "A",IF(BT37= 1, "B",IF(BT37= 0, "C")))))</f>
        <v/>
      </c>
      <c r="AC37" s="146"/>
      <c r="AD37" s="147" t="str">
        <f aca="false">IF(BU37="","",IF(BU37=3,"AD",IF(BU37=2, "A",IF(BU37= 1, "B",IF(BU37= 0, "C")))))</f>
        <v/>
      </c>
      <c r="AE37" s="143"/>
      <c r="AF37" s="143"/>
      <c r="AG37" s="143"/>
      <c r="AH37" s="143"/>
      <c r="AI37" s="138" t="str">
        <f aca="false">IF(BZ37="","",IF(BZ37=3,"AD",IF(BZ37=2, "A",IF(BZ37= 1, "B",IF(BZ37= 0, "C")))))</f>
        <v/>
      </c>
      <c r="AJ37" s="143"/>
      <c r="AK37" s="143"/>
      <c r="AL37" s="143"/>
      <c r="AM37" s="138" t="str">
        <f aca="false">IF(CD37="","",IF(CD37=3,"AD",IF(CD37=2, "A",IF(CD37= 1, "B",IF(CD37= 0, "C")))))</f>
        <v/>
      </c>
      <c r="AN37" s="148" t="str">
        <f aca="false">IF(AD37="","No presenta evidencias para su calificación",IF(AD37="AD","Demuestra aprendizaje que van más allá del nivel esperado",IF(AD37="A","Demuestra manejo satisfactorio en todas las tareas propuestas",IF(AD37="B","Está próximo al nivel esperado para lo cual requiere acompañamiento durante un tiempo razonable",IF(AD37= "C","No logro el desarrollo de las competencias",)))))</f>
        <v>No presenta evidencias para su calificación</v>
      </c>
      <c r="AO37" s="148"/>
      <c r="AP37" s="148"/>
      <c r="AQ37" s="148"/>
      <c r="AR37" s="148"/>
      <c r="AS37" s="148"/>
      <c r="AT37" s="148"/>
      <c r="AU37" s="148"/>
      <c r="AV37" s="148"/>
      <c r="AX37" s="140" t="str">
        <f aca="false">IF(C37="","",IF(C37="AD",3,IF(C37="A",2,IF(C37="B",1,IF(C37="C",0)))))</f>
        <v/>
      </c>
      <c r="AY37" s="140" t="str">
        <f aca="false">IF(D37="","",IF(D37="AD",3,IF(D37="A",2,IF(D37="B",1,IF(D37="C",0)))))</f>
        <v/>
      </c>
      <c r="AZ37" s="140" t="str">
        <f aca="false">IF(E37="","",IF(E37="AD",3,IF(E37="A",2,IF(E37="B",1,IF(E37="C",0)))))</f>
        <v/>
      </c>
      <c r="BA37" s="140" t="str">
        <f aca="false">IF(F37="","",IF(F37="AD",3,IF(F37="A",2,IF(F37="B",1,IF(F37="C",0)))))</f>
        <v/>
      </c>
      <c r="BB37" s="140" t="str">
        <f aca="false">IF(G37="","",IF(G37="AD",3,IF(G37="A",2,IF(G37="B",1,IF(G37="C",0)))))</f>
        <v/>
      </c>
      <c r="BC37" s="140" t="str">
        <f aca="false">IF(H37="","",IF(H37="AD",3,IF(H37="A",2,IF(H37="B",1,IF(H37="C",0)))))</f>
        <v/>
      </c>
      <c r="BD37" s="141" t="str">
        <f aca="false">IF(B37="","",IF(COUNT(AX37:BC37)=0,"",ROUND(AVERAGE(AX37:BC37),0)))</f>
        <v/>
      </c>
      <c r="BE37" s="140" t="str">
        <f aca="false">IF(K37="","",IF(K37="AD",3,IF(K37="A",2,IF(K37="B",1,IF(K37="C",0)))))</f>
        <v/>
      </c>
      <c r="BF37" s="140" t="str">
        <f aca="false">IF(L37="","",IF(L37="AD",3,IF(L37="A",2,IF(L37="B",1,IF(L37="C",0)))))</f>
        <v/>
      </c>
      <c r="BG37" s="140" t="str">
        <f aca="false">IF(M37="","",IF(M37="AD",3,IF(M37="A",2,IF(M37="B",1,IF(M37="C",0)))))</f>
        <v/>
      </c>
      <c r="BH37" s="140" t="str">
        <f aca="false">IF(N37="","",IF(N37="AD",3,IF(N37="A",2,IF(N37="B",1,IF(N37="C",0)))))</f>
        <v/>
      </c>
      <c r="BI37" s="140" t="str">
        <f aca="false">IF(O37="","",IF(O37="AD",3,IF(O37="A",2,IF(O37="B",1,IF(O37="C",0)))))</f>
        <v/>
      </c>
      <c r="BJ37" s="141" t="str">
        <f aca="false">IF(B37="","",IF(COUNT(BE37:BI37)=0,"",ROUND(AVERAGE(BE37:BI37),0)))</f>
        <v/>
      </c>
      <c r="BK37" s="140" t="str">
        <f aca="false">IF(R37="","",IF(R37="AD",3,IF(R37="A",2,IF(R37="B",1,IF(R37="C",0)))))</f>
        <v/>
      </c>
      <c r="BL37" s="140" t="str">
        <f aca="false">IF(S37="","",IF(S37="AD",3,IF(S37="A",2,IF(S37="B",1,IF(S37="C",0)))))</f>
        <v/>
      </c>
      <c r="BM37" s="140" t="str">
        <f aca="false">IF(T37="","",IF(T37="AD",3,IF(T37="A",2,IF(T37="B",1,IF(T37="C",0)))))</f>
        <v/>
      </c>
      <c r="BN37" s="140" t="str">
        <f aca="false">IF(U37="","",IF(U37="AD",3,IF(U37="A",2,IF(U37="B",1,IF(U37="C",0)))))</f>
        <v/>
      </c>
      <c r="BO37" s="141" t="str">
        <f aca="false">IF(B37="","",IF(COUNT(BK37:BN37)=0,"",ROUND(AVERAGE(BK37:BN37),0)))</f>
        <v/>
      </c>
      <c r="BP37" s="140" t="str">
        <f aca="false">IF(X37="","",IF(X37="AD",3,IF(X37="A",2,IF(X37="B",1,IF(X37="C",0)))))</f>
        <v/>
      </c>
      <c r="BQ37" s="140" t="str">
        <f aca="false">IF(Y37="","",IF(Y37="AD",3,IF(Y37="A",2,IF(Y37="B",1,IF(Y37="C",0)))))</f>
        <v/>
      </c>
      <c r="BR37" s="140" t="str">
        <f aca="false">IF(Z37="","",IF(Z37="AD",3,IF(Z37="A",2,IF(Z37="B",1,IF(Z37="C",0)))))</f>
        <v/>
      </c>
      <c r="BS37" s="140" t="str">
        <f aca="false">IF(AA37="","",IF(AA37="AD",3,IF(AA37="A",2,IF(AA37="B",1,IF(AA37="C",0)))))</f>
        <v/>
      </c>
      <c r="BT37" s="141" t="str">
        <f aca="false">IF(B37="","",IF(COUNT(BP37:BS37)=0,"",ROUND(AVERAGE(BP37:BS37),0)))</f>
        <v/>
      </c>
      <c r="BU37" s="142" t="str">
        <f aca="false">IF(ISERROR(AVERAGE(BD37,BJ37,BO37,BT37)),"",ROUND(AVERAGE(BD37,BJ37,BO37,BT37),0))</f>
        <v/>
      </c>
      <c r="BV37" s="140" t="str">
        <f aca="false">IF(AE37="","",IF(AE37="AD",3,IF(AE37="A",2,IF(AE37="B",1,IF(AE37="C",0)))))</f>
        <v/>
      </c>
      <c r="BW37" s="140" t="str">
        <f aca="false">IF(AF37="","",IF(AF37="AD",3,IF(AF37="A",2,IF(AF37="B",1,IF(AF37="C",0)))))</f>
        <v/>
      </c>
      <c r="BX37" s="140" t="str">
        <f aca="false">IF(AG37="","",IF(AG37="AD",3,IF(AG37="A",2,IF(AG37="B",1,IF(AG37="C",0)))))</f>
        <v/>
      </c>
      <c r="BY37" s="140" t="str">
        <f aca="false">IF(AH37="","",IF(AH37="AD",3,IF(AH37="A",2,IF(AH37="B",1,IF(AH37="C",0)))))</f>
        <v/>
      </c>
      <c r="BZ37" s="141" t="str">
        <f aca="false">IF(B37="","",IF(COUNT(BV37:BY37)=0,"",ROUND(AVERAGE(BV37:BY37),0)))</f>
        <v/>
      </c>
      <c r="CA37" s="140" t="str">
        <f aca="false">IF(AJ37="","",IF(AJ37="AD",3,IF(AJ37="A",2,IF(AJ37="B",1,IF(AJ37="C",0)))))</f>
        <v/>
      </c>
      <c r="CB37" s="140" t="str">
        <f aca="false">IF(AK37="","",IF(AK37="AD",3,IF(AK37="A",2,IF(AK37="B",1,IF(AK37="C",0)))))</f>
        <v/>
      </c>
      <c r="CC37" s="140" t="str">
        <f aca="false">IF(AL37="","",IF(AL37="AD",3,IF(AL37="A",2,IF(AL37="B",1,IF(AL37="C",0)))))</f>
        <v/>
      </c>
      <c r="CD37" s="141" t="str">
        <f aca="false">IF(B37="","",IF(COUNT(CA37:CC37)=0,"",ROUND(AVERAGE(CA37:CC37),0)))</f>
        <v/>
      </c>
    </row>
    <row r="38" customFormat="false" ht="12.75" hidden="false" customHeight="false" outlineLevel="0" collapsed="false">
      <c r="A38" s="130" t="n">
        <v>29</v>
      </c>
      <c r="B38" s="131" t="n">
        <f aca="false">'Datos '!D36</f>
        <v>0</v>
      </c>
      <c r="C38" s="143"/>
      <c r="D38" s="143"/>
      <c r="E38" s="143"/>
      <c r="F38" s="143"/>
      <c r="G38" s="143"/>
      <c r="H38" s="144"/>
      <c r="I38" s="134" t="str">
        <f aca="false">IF(BD38="","",IF(BD38=3,"AD",IF(BD38=2, "A",IF(BD38= 1, "B",IF(BD38= 0, "C")))))</f>
        <v/>
      </c>
      <c r="J38" s="145"/>
      <c r="K38" s="143"/>
      <c r="L38" s="143"/>
      <c r="M38" s="143"/>
      <c r="N38" s="143"/>
      <c r="O38" s="143"/>
      <c r="P38" s="134" t="str">
        <f aca="false">IF(BJ38="","",IF(BJ38=3,"AD",IF(BJ38=2, "A",IF(BJ38= 1, "B",IF(BJ38= 0, "C")))))</f>
        <v/>
      </c>
      <c r="Q38" s="145"/>
      <c r="R38" s="143"/>
      <c r="S38" s="143"/>
      <c r="T38" s="143"/>
      <c r="U38" s="143"/>
      <c r="V38" s="134" t="str">
        <f aca="false">IF(BO38="","",IF(BO38=3,"AD",IF(BO38=2, "A",IF(BO38= 1, "B",IF(BO38= 0, "C")))))</f>
        <v/>
      </c>
      <c r="W38" s="145"/>
      <c r="X38" s="143"/>
      <c r="Y38" s="143"/>
      <c r="Z38" s="143"/>
      <c r="AA38" s="143"/>
      <c r="AB38" s="134" t="str">
        <f aca="false">IF(BT38="","",IF(BT38=3,"AD",IF(BT38=2, "A",IF(BT38= 1, "B",IF(BT38= 0, "C")))))</f>
        <v/>
      </c>
      <c r="AC38" s="146"/>
      <c r="AD38" s="147" t="str">
        <f aca="false">IF(BU38="","",IF(BU38=3,"AD",IF(BU38=2, "A",IF(BU38= 1, "B",IF(BU38= 0, "C")))))</f>
        <v/>
      </c>
      <c r="AE38" s="143"/>
      <c r="AF38" s="143"/>
      <c r="AG38" s="143"/>
      <c r="AH38" s="143"/>
      <c r="AI38" s="138" t="str">
        <f aca="false">IF(BZ38="","",IF(BZ38=3,"AD",IF(BZ38=2, "A",IF(BZ38= 1, "B",IF(BZ38= 0, "C")))))</f>
        <v/>
      </c>
      <c r="AJ38" s="143"/>
      <c r="AK38" s="143"/>
      <c r="AL38" s="143"/>
      <c r="AM38" s="138" t="str">
        <f aca="false">IF(CD38="","",IF(CD38=3,"AD",IF(CD38=2, "A",IF(CD38= 1, "B",IF(CD38= 0, "C")))))</f>
        <v/>
      </c>
      <c r="AN38" s="148" t="str">
        <f aca="false">IF(AD38="","No presenta evidencias para su calificación",IF(AD38="AD","Demuestra aprendizaje que van más allá del nivel esperado",IF(AD38="A","Demuestra manejo satisfactorio en todas las tareas propuestas",IF(AD38="B","Está próximo al nivel esperado para lo cual requiere acompañamiento durante un tiempo razonable",IF(AD38= "C","No logro el desarrollo de las competencias",)))))</f>
        <v>No presenta evidencias para su calificación</v>
      </c>
      <c r="AO38" s="148"/>
      <c r="AP38" s="148"/>
      <c r="AQ38" s="148"/>
      <c r="AR38" s="148"/>
      <c r="AS38" s="148"/>
      <c r="AT38" s="148"/>
      <c r="AU38" s="148"/>
      <c r="AV38" s="148"/>
      <c r="AX38" s="140" t="str">
        <f aca="false">IF(C38="","",IF(C38="AD",3,IF(C38="A",2,IF(C38="B",1,IF(C38="C",0)))))</f>
        <v/>
      </c>
      <c r="AY38" s="140" t="str">
        <f aca="false">IF(D38="","",IF(D38="AD",3,IF(D38="A",2,IF(D38="B",1,IF(D38="C",0)))))</f>
        <v/>
      </c>
      <c r="AZ38" s="140" t="str">
        <f aca="false">IF(E38="","",IF(E38="AD",3,IF(E38="A",2,IF(E38="B",1,IF(E38="C",0)))))</f>
        <v/>
      </c>
      <c r="BA38" s="140" t="str">
        <f aca="false">IF(F38="","",IF(F38="AD",3,IF(F38="A",2,IF(F38="B",1,IF(F38="C",0)))))</f>
        <v/>
      </c>
      <c r="BB38" s="140" t="str">
        <f aca="false">IF(G38="","",IF(G38="AD",3,IF(G38="A",2,IF(G38="B",1,IF(G38="C",0)))))</f>
        <v/>
      </c>
      <c r="BC38" s="140" t="str">
        <f aca="false">IF(H38="","",IF(H38="AD",3,IF(H38="A",2,IF(H38="B",1,IF(H38="C",0)))))</f>
        <v/>
      </c>
      <c r="BD38" s="141" t="str">
        <f aca="false">IF(B38="","",IF(COUNT(AX38:BC38)=0,"",ROUND(AVERAGE(AX38:BC38),0)))</f>
        <v/>
      </c>
      <c r="BE38" s="140" t="str">
        <f aca="false">IF(K38="","",IF(K38="AD",3,IF(K38="A",2,IF(K38="B",1,IF(K38="C",0)))))</f>
        <v/>
      </c>
      <c r="BF38" s="140" t="str">
        <f aca="false">IF(L38="","",IF(L38="AD",3,IF(L38="A",2,IF(L38="B",1,IF(L38="C",0)))))</f>
        <v/>
      </c>
      <c r="BG38" s="140" t="str">
        <f aca="false">IF(M38="","",IF(M38="AD",3,IF(M38="A",2,IF(M38="B",1,IF(M38="C",0)))))</f>
        <v/>
      </c>
      <c r="BH38" s="140" t="str">
        <f aca="false">IF(N38="","",IF(N38="AD",3,IF(N38="A",2,IF(N38="B",1,IF(N38="C",0)))))</f>
        <v/>
      </c>
      <c r="BI38" s="140" t="str">
        <f aca="false">IF(O38="","",IF(O38="AD",3,IF(O38="A",2,IF(O38="B",1,IF(O38="C",0)))))</f>
        <v/>
      </c>
      <c r="BJ38" s="141" t="str">
        <f aca="false">IF(B38="","",IF(COUNT(BE38:BI38)=0,"",ROUND(AVERAGE(BE38:BI38),0)))</f>
        <v/>
      </c>
      <c r="BK38" s="140" t="str">
        <f aca="false">IF(R38="","",IF(R38="AD",3,IF(R38="A",2,IF(R38="B",1,IF(R38="C",0)))))</f>
        <v/>
      </c>
      <c r="BL38" s="140" t="str">
        <f aca="false">IF(S38="","",IF(S38="AD",3,IF(S38="A",2,IF(S38="B",1,IF(S38="C",0)))))</f>
        <v/>
      </c>
      <c r="BM38" s="140" t="str">
        <f aca="false">IF(T38="","",IF(T38="AD",3,IF(T38="A",2,IF(T38="B",1,IF(T38="C",0)))))</f>
        <v/>
      </c>
      <c r="BN38" s="140" t="str">
        <f aca="false">IF(U38="","",IF(U38="AD",3,IF(U38="A",2,IF(U38="B",1,IF(U38="C",0)))))</f>
        <v/>
      </c>
      <c r="BO38" s="141" t="str">
        <f aca="false">IF(B38="","",IF(COUNT(BK38:BN38)=0,"",ROUND(AVERAGE(BK38:BN38),0)))</f>
        <v/>
      </c>
      <c r="BP38" s="140" t="str">
        <f aca="false">IF(X38="","",IF(X38="AD",3,IF(X38="A",2,IF(X38="B",1,IF(X38="C",0)))))</f>
        <v/>
      </c>
      <c r="BQ38" s="140" t="str">
        <f aca="false">IF(Y38="","",IF(Y38="AD",3,IF(Y38="A",2,IF(Y38="B",1,IF(Y38="C",0)))))</f>
        <v/>
      </c>
      <c r="BR38" s="140" t="str">
        <f aca="false">IF(Z38="","",IF(Z38="AD",3,IF(Z38="A",2,IF(Z38="B",1,IF(Z38="C",0)))))</f>
        <v/>
      </c>
      <c r="BS38" s="140" t="str">
        <f aca="false">IF(AA38="","",IF(AA38="AD",3,IF(AA38="A",2,IF(AA38="B",1,IF(AA38="C",0)))))</f>
        <v/>
      </c>
      <c r="BT38" s="141" t="str">
        <f aca="false">IF(B38="","",IF(COUNT(BP38:BS38)=0,"",ROUND(AVERAGE(BP38:BS38),0)))</f>
        <v/>
      </c>
      <c r="BU38" s="142" t="str">
        <f aca="false">IF(ISERROR(AVERAGE(BD38,BJ38,BO38,BT38)),"",ROUND(AVERAGE(BD38,BJ38,BO38,BT38),0))</f>
        <v/>
      </c>
      <c r="BV38" s="140" t="str">
        <f aca="false">IF(AE38="","",IF(AE38="AD",3,IF(AE38="A",2,IF(AE38="B",1,IF(AE38="C",0)))))</f>
        <v/>
      </c>
      <c r="BW38" s="140" t="str">
        <f aca="false">IF(AF38="","",IF(AF38="AD",3,IF(AF38="A",2,IF(AF38="B",1,IF(AF38="C",0)))))</f>
        <v/>
      </c>
      <c r="BX38" s="140" t="str">
        <f aca="false">IF(AG38="","",IF(AG38="AD",3,IF(AG38="A",2,IF(AG38="B",1,IF(AG38="C",0)))))</f>
        <v/>
      </c>
      <c r="BY38" s="140" t="str">
        <f aca="false">IF(AH38="","",IF(AH38="AD",3,IF(AH38="A",2,IF(AH38="B",1,IF(AH38="C",0)))))</f>
        <v/>
      </c>
      <c r="BZ38" s="141" t="str">
        <f aca="false">IF(B38="","",IF(COUNT(BV38:BY38)=0,"",ROUND(AVERAGE(BV38:BY38),0)))</f>
        <v/>
      </c>
      <c r="CA38" s="140" t="str">
        <f aca="false">IF(AJ38="","",IF(AJ38="AD",3,IF(AJ38="A",2,IF(AJ38="B",1,IF(AJ38="C",0)))))</f>
        <v/>
      </c>
      <c r="CB38" s="140" t="str">
        <f aca="false">IF(AK38="","",IF(AK38="AD",3,IF(AK38="A",2,IF(AK38="B",1,IF(AK38="C",0)))))</f>
        <v/>
      </c>
      <c r="CC38" s="140" t="str">
        <f aca="false">IF(AL38="","",IF(AL38="AD",3,IF(AL38="A",2,IF(AL38="B",1,IF(AL38="C",0)))))</f>
        <v/>
      </c>
      <c r="CD38" s="141" t="str">
        <f aca="false">IF(B38="","",IF(COUNT(CA38:CC38)=0,"",ROUND(AVERAGE(CA38:CC38),0)))</f>
        <v/>
      </c>
    </row>
    <row r="39" customFormat="false" ht="12.75" hidden="false" customHeight="false" outlineLevel="0" collapsed="false">
      <c r="A39" s="130" t="n">
        <v>30</v>
      </c>
      <c r="B39" s="131" t="n">
        <f aca="false">'Datos '!D37</f>
        <v>0</v>
      </c>
      <c r="C39" s="132"/>
      <c r="D39" s="132"/>
      <c r="E39" s="132"/>
      <c r="F39" s="132"/>
      <c r="G39" s="132"/>
      <c r="H39" s="133"/>
      <c r="I39" s="134" t="str">
        <f aca="false">IF(BD39="","",IF(BD39=3,"AD",IF(BD39=2, "A",IF(BD39= 1, "B",IF(BD39= 0, "C")))))</f>
        <v/>
      </c>
      <c r="J39" s="135"/>
      <c r="K39" s="132"/>
      <c r="L39" s="132"/>
      <c r="M39" s="132"/>
      <c r="N39" s="132"/>
      <c r="O39" s="132"/>
      <c r="P39" s="134" t="str">
        <f aca="false">IF(BJ39="","",IF(BJ39=3,"AD",IF(BJ39=2, "A",IF(BJ39= 1, "B",IF(BJ39= 0, "C")))))</f>
        <v/>
      </c>
      <c r="Q39" s="135"/>
      <c r="R39" s="132"/>
      <c r="S39" s="132"/>
      <c r="T39" s="132"/>
      <c r="U39" s="132"/>
      <c r="V39" s="134" t="str">
        <f aca="false">IF(BO39="","",IF(BO39=3,"AD",IF(BO39=2, "A",IF(BO39= 1, "B",IF(BO39= 0, "C")))))</f>
        <v/>
      </c>
      <c r="W39" s="135"/>
      <c r="X39" s="132"/>
      <c r="Y39" s="132"/>
      <c r="Z39" s="132"/>
      <c r="AA39" s="132"/>
      <c r="AB39" s="134" t="str">
        <f aca="false">IF(BT39="","",IF(BT39=3,"AD",IF(BT39=2, "A",IF(BT39= 1, "B",IF(BT39= 0, "C")))))</f>
        <v/>
      </c>
      <c r="AC39" s="146"/>
      <c r="AD39" s="147" t="str">
        <f aca="false">IF(BU39="","",IF(BU39=3,"AD",IF(BU39=2, "A",IF(BU39= 1, "B",IF(BU39= 0, "C")))))</f>
        <v/>
      </c>
      <c r="AE39" s="143"/>
      <c r="AF39" s="143"/>
      <c r="AG39" s="143"/>
      <c r="AH39" s="143"/>
      <c r="AI39" s="138" t="str">
        <f aca="false">IF(BZ39="","",IF(BZ39=3,"AD",IF(BZ39=2, "A",IF(BZ39= 1, "B",IF(BZ39= 0, "C")))))</f>
        <v/>
      </c>
      <c r="AJ39" s="132"/>
      <c r="AK39" s="132"/>
      <c r="AL39" s="132"/>
      <c r="AM39" s="138" t="str">
        <f aca="false">IF(CD39="","",IF(CD39=3,"AD",IF(CD39=2, "A",IF(CD39= 1, "B",IF(CD39= 0, "C")))))</f>
        <v/>
      </c>
      <c r="AN39" s="148" t="str">
        <f aca="false">IF(AD39="","No presenta evidencias para su calificación",IF(AD39="AD","Demuestra aprendizaje que van más allá del nivel esperado",IF(AD39="A","Demuestra manejo satisfactorio en todas las tareas propuestas",IF(AD39="B","Está próximo al nivel esperado para lo cual requiere acompañamiento durante un tiempo razonable",IF(AD39= "C","No logro el desarrollo de las competencias",)))))</f>
        <v>No presenta evidencias para su calificación</v>
      </c>
      <c r="AO39" s="148"/>
      <c r="AP39" s="148"/>
      <c r="AQ39" s="148"/>
      <c r="AR39" s="148"/>
      <c r="AS39" s="148"/>
      <c r="AT39" s="148"/>
      <c r="AU39" s="148"/>
      <c r="AV39" s="148"/>
      <c r="AX39" s="140" t="str">
        <f aca="false">IF(C39="","",IF(C39="AD",3,IF(C39="A",2,IF(C39="B",1,IF(C39="C",0)))))</f>
        <v/>
      </c>
      <c r="AY39" s="140" t="str">
        <f aca="false">IF(D39="","",IF(D39="AD",3,IF(D39="A",2,IF(D39="B",1,IF(D39="C",0)))))</f>
        <v/>
      </c>
      <c r="AZ39" s="140" t="str">
        <f aca="false">IF(E39="","",IF(E39="AD",3,IF(E39="A",2,IF(E39="B",1,IF(E39="C",0)))))</f>
        <v/>
      </c>
      <c r="BA39" s="140" t="str">
        <f aca="false">IF(F39="","",IF(F39="AD",3,IF(F39="A",2,IF(F39="B",1,IF(F39="C",0)))))</f>
        <v/>
      </c>
      <c r="BB39" s="140" t="str">
        <f aca="false">IF(G39="","",IF(G39="AD",3,IF(G39="A",2,IF(G39="B",1,IF(G39="C",0)))))</f>
        <v/>
      </c>
      <c r="BC39" s="140" t="str">
        <f aca="false">IF(H39="","",IF(H39="AD",3,IF(H39="A",2,IF(H39="B",1,IF(H39="C",0)))))</f>
        <v/>
      </c>
      <c r="BD39" s="141" t="str">
        <f aca="false">IF(B39="","",IF(COUNT(AX39:BC39)=0,"",ROUND(AVERAGE(AX39:BC39),0)))</f>
        <v/>
      </c>
      <c r="BE39" s="140" t="str">
        <f aca="false">IF(K39="","",IF(K39="AD",3,IF(K39="A",2,IF(K39="B",1,IF(K39="C",0)))))</f>
        <v/>
      </c>
      <c r="BF39" s="140" t="str">
        <f aca="false">IF(L39="","",IF(L39="AD",3,IF(L39="A",2,IF(L39="B",1,IF(L39="C",0)))))</f>
        <v/>
      </c>
      <c r="BG39" s="140" t="str">
        <f aca="false">IF(M39="","",IF(M39="AD",3,IF(M39="A",2,IF(M39="B",1,IF(M39="C",0)))))</f>
        <v/>
      </c>
      <c r="BH39" s="140" t="str">
        <f aca="false">IF(N39="","",IF(N39="AD",3,IF(N39="A",2,IF(N39="B",1,IF(N39="C",0)))))</f>
        <v/>
      </c>
      <c r="BI39" s="140" t="str">
        <f aca="false">IF(O39="","",IF(O39="AD",3,IF(O39="A",2,IF(O39="B",1,IF(O39="C",0)))))</f>
        <v/>
      </c>
      <c r="BJ39" s="141" t="str">
        <f aca="false">IF(B39="","",IF(COUNT(BE39:BI39)=0,"",ROUND(AVERAGE(BE39:BI39),0)))</f>
        <v/>
      </c>
      <c r="BK39" s="140" t="str">
        <f aca="false">IF(R39="","",IF(R39="AD",3,IF(R39="A",2,IF(R39="B",1,IF(R39="C",0)))))</f>
        <v/>
      </c>
      <c r="BL39" s="140" t="str">
        <f aca="false">IF(S39="","",IF(S39="AD",3,IF(S39="A",2,IF(S39="B",1,IF(S39="C",0)))))</f>
        <v/>
      </c>
      <c r="BM39" s="140" t="str">
        <f aca="false">IF(T39="","",IF(T39="AD",3,IF(T39="A",2,IF(T39="B",1,IF(T39="C",0)))))</f>
        <v/>
      </c>
      <c r="BN39" s="140" t="str">
        <f aca="false">IF(U39="","",IF(U39="AD",3,IF(U39="A",2,IF(U39="B",1,IF(U39="C",0)))))</f>
        <v/>
      </c>
      <c r="BO39" s="141" t="str">
        <f aca="false">IF(B39="","",IF(COUNT(BK39:BN39)=0,"",ROUND(AVERAGE(BK39:BN39),0)))</f>
        <v/>
      </c>
      <c r="BP39" s="140" t="str">
        <f aca="false">IF(X39="","",IF(X39="AD",3,IF(X39="A",2,IF(X39="B",1,IF(X39="C",0)))))</f>
        <v/>
      </c>
      <c r="BQ39" s="140" t="str">
        <f aca="false">IF(Y39="","",IF(Y39="AD",3,IF(Y39="A",2,IF(Y39="B",1,IF(Y39="C",0)))))</f>
        <v/>
      </c>
      <c r="BR39" s="140" t="str">
        <f aca="false">IF(Z39="","",IF(Z39="AD",3,IF(Z39="A",2,IF(Z39="B",1,IF(Z39="C",0)))))</f>
        <v/>
      </c>
      <c r="BS39" s="140" t="str">
        <f aca="false">IF(AA39="","",IF(AA39="AD",3,IF(AA39="A",2,IF(AA39="B",1,IF(AA39="C",0)))))</f>
        <v/>
      </c>
      <c r="BT39" s="141" t="str">
        <f aca="false">IF(B39="","",IF(COUNT(BP39:BS39)=0,"",ROUND(AVERAGE(BP39:BS39),0)))</f>
        <v/>
      </c>
      <c r="BU39" s="142" t="str">
        <f aca="false">IF(ISERROR(AVERAGE(BD39,BJ39,BO39,BT39)),"",ROUND(AVERAGE(BD39,BJ39,BO39,BT39),0))</f>
        <v/>
      </c>
      <c r="BV39" s="140" t="str">
        <f aca="false">IF(AE39="","",IF(AE39="AD",3,IF(AE39="A",2,IF(AE39="B",1,IF(AE39="C",0)))))</f>
        <v/>
      </c>
      <c r="BW39" s="140" t="str">
        <f aca="false">IF(AF39="","",IF(AF39="AD",3,IF(AF39="A",2,IF(AF39="B",1,IF(AF39="C",0)))))</f>
        <v/>
      </c>
      <c r="BX39" s="140" t="str">
        <f aca="false">IF(AG39="","",IF(AG39="AD",3,IF(AG39="A",2,IF(AG39="B",1,IF(AG39="C",0)))))</f>
        <v/>
      </c>
      <c r="BY39" s="140" t="str">
        <f aca="false">IF(AH39="","",IF(AH39="AD",3,IF(AH39="A",2,IF(AH39="B",1,IF(AH39="C",0)))))</f>
        <v/>
      </c>
      <c r="BZ39" s="141" t="str">
        <f aca="false">IF(B39="","",IF(COUNT(BV39:BY39)=0,"",ROUND(AVERAGE(BV39:BY39),0)))</f>
        <v/>
      </c>
      <c r="CA39" s="140" t="str">
        <f aca="false">IF(AJ39="","",IF(AJ39="AD",3,IF(AJ39="A",2,IF(AJ39="B",1,IF(AJ39="C",0)))))</f>
        <v/>
      </c>
      <c r="CB39" s="140" t="str">
        <f aca="false">IF(AK39="","",IF(AK39="AD",3,IF(AK39="A",2,IF(AK39="B",1,IF(AK39="C",0)))))</f>
        <v/>
      </c>
      <c r="CC39" s="140" t="str">
        <f aca="false">IF(AL39="","",IF(AL39="AD",3,IF(AL39="A",2,IF(AL39="B",1,IF(AL39="C",0)))))</f>
        <v/>
      </c>
      <c r="CD39" s="141" t="str">
        <f aca="false">IF(B39="","",IF(COUNT(CA39:CC39)=0,"",ROUND(AVERAGE(CA39:CC39),0)))</f>
        <v/>
      </c>
    </row>
    <row r="40" customFormat="false" ht="12.75" hidden="false" customHeight="false" outlineLevel="0" collapsed="false">
      <c r="A40" s="130" t="n">
        <v>31</v>
      </c>
      <c r="B40" s="131" t="n">
        <f aca="false">'Datos '!D38</f>
        <v>0</v>
      </c>
      <c r="C40" s="132"/>
      <c r="D40" s="132"/>
      <c r="E40" s="132"/>
      <c r="F40" s="132"/>
      <c r="G40" s="132"/>
      <c r="H40" s="133"/>
      <c r="I40" s="134" t="str">
        <f aca="false">IF(BD40="","",IF(BD40=3,"AD",IF(BD40=2, "A",IF(BD40= 1, "B",IF(BD40= 0, "C")))))</f>
        <v/>
      </c>
      <c r="J40" s="135"/>
      <c r="K40" s="132"/>
      <c r="L40" s="132"/>
      <c r="M40" s="132"/>
      <c r="N40" s="132"/>
      <c r="O40" s="132"/>
      <c r="P40" s="134" t="str">
        <f aca="false">IF(BJ40="","",IF(BJ40=3,"AD",IF(BJ40=2, "A",IF(BJ40= 1, "B",IF(BJ40= 0, "C")))))</f>
        <v/>
      </c>
      <c r="Q40" s="135"/>
      <c r="R40" s="132"/>
      <c r="S40" s="132"/>
      <c r="T40" s="132"/>
      <c r="U40" s="132"/>
      <c r="V40" s="134" t="str">
        <f aca="false">IF(BO40="","",IF(BO40=3,"AD",IF(BO40=2, "A",IF(BO40= 1, "B",IF(BO40= 0, "C")))))</f>
        <v/>
      </c>
      <c r="W40" s="135"/>
      <c r="X40" s="132"/>
      <c r="Y40" s="132"/>
      <c r="Z40" s="132"/>
      <c r="AA40" s="132"/>
      <c r="AB40" s="134" t="str">
        <f aca="false">IF(BT40="","",IF(BT40=3,"AD",IF(BT40=2, "A",IF(BT40= 1, "B",IF(BT40= 0, "C")))))</f>
        <v/>
      </c>
      <c r="AC40" s="136"/>
      <c r="AD40" s="137" t="str">
        <f aca="false">IF(BU40="","",IF(BU40=3,"AD",IF(BU40=2, "A",IF(BU40= 1, "B",IF(BU40= 0, "C")))))</f>
        <v/>
      </c>
      <c r="AE40" s="132"/>
      <c r="AF40" s="132"/>
      <c r="AG40" s="132"/>
      <c r="AH40" s="132"/>
      <c r="AI40" s="138" t="str">
        <f aca="false">IF(BZ40="","",IF(BZ40=3,"AD",IF(BZ40=2, "A",IF(BZ40= 1, "B",IF(BZ40= 0, "C")))))</f>
        <v/>
      </c>
      <c r="AJ40" s="132"/>
      <c r="AK40" s="132"/>
      <c r="AL40" s="132"/>
      <c r="AM40" s="138" t="str">
        <f aca="false">IF(CD40="","",IF(CD40=3,"AD",IF(CD40=2, "A",IF(CD40= 1, "B",IF(CD40= 0, "C")))))</f>
        <v/>
      </c>
      <c r="AN40" s="139" t="str">
        <f aca="false">IF(AD40="","No presenta evidencias para su calificación",IF(AD40="AD","Demuestra aprendizaje que van más allá del nivel esperado",IF(AD40="A","Demuestra manejo satisfactorio en todas las tareas propuestas",IF(AD40="B","Está próximo al nivel esperado para lo cual requiere acompañamiento durante un tiempo razonable",IF(AD40= "C","No logro el desarrollo de las competencias",)))))</f>
        <v>No presenta evidencias para su calificación</v>
      </c>
      <c r="AO40" s="139"/>
      <c r="AP40" s="139"/>
      <c r="AQ40" s="139"/>
      <c r="AR40" s="139"/>
      <c r="AS40" s="139"/>
      <c r="AT40" s="139"/>
      <c r="AU40" s="139"/>
      <c r="AV40" s="139"/>
      <c r="AX40" s="140" t="str">
        <f aca="false">IF(C40="","",IF(C40="AD",3,IF(C40="A",2,IF(C40="B",1,IF(C40="C",0)))))</f>
        <v/>
      </c>
      <c r="AY40" s="140" t="str">
        <f aca="false">IF(D40="","",IF(D40="AD",3,IF(D40="A",2,IF(D40="B",1,IF(D40="C",0)))))</f>
        <v/>
      </c>
      <c r="AZ40" s="140" t="str">
        <f aca="false">IF(E40="","",IF(E40="AD",3,IF(E40="A",2,IF(E40="B",1,IF(E40="C",0)))))</f>
        <v/>
      </c>
      <c r="BA40" s="140" t="str">
        <f aca="false">IF(F40="","",IF(F40="AD",3,IF(F40="A",2,IF(F40="B",1,IF(F40="C",0)))))</f>
        <v/>
      </c>
      <c r="BB40" s="140" t="str">
        <f aca="false">IF(G40="","",IF(G40="AD",3,IF(G40="A",2,IF(G40="B",1,IF(G40="C",0)))))</f>
        <v/>
      </c>
      <c r="BC40" s="140" t="str">
        <f aca="false">IF(H40="","",IF(H40="AD",3,IF(H40="A",2,IF(H40="B",1,IF(H40="C",0)))))</f>
        <v/>
      </c>
      <c r="BD40" s="141" t="str">
        <f aca="false">IF(B40="","",IF(COUNT(AX40:BC40)=0,"",ROUND(AVERAGE(AX40:BC40),0)))</f>
        <v/>
      </c>
      <c r="BE40" s="140" t="str">
        <f aca="false">IF(K40="","",IF(K40="AD",3,IF(K40="A",2,IF(K40="B",1,IF(K40="C",0)))))</f>
        <v/>
      </c>
      <c r="BF40" s="140" t="str">
        <f aca="false">IF(L40="","",IF(L40="AD",3,IF(L40="A",2,IF(L40="B",1,IF(L40="C",0)))))</f>
        <v/>
      </c>
      <c r="BG40" s="140" t="str">
        <f aca="false">IF(M40="","",IF(M40="AD",3,IF(M40="A",2,IF(M40="B",1,IF(M40="C",0)))))</f>
        <v/>
      </c>
      <c r="BH40" s="140" t="str">
        <f aca="false">IF(N40="","",IF(N40="AD",3,IF(N40="A",2,IF(N40="B",1,IF(N40="C",0)))))</f>
        <v/>
      </c>
      <c r="BI40" s="140" t="str">
        <f aca="false">IF(O40="","",IF(O40="AD",3,IF(O40="A",2,IF(O40="B",1,IF(O40="C",0)))))</f>
        <v/>
      </c>
      <c r="BJ40" s="141" t="str">
        <f aca="false">IF(B40="","",IF(COUNT(BE40:BI40)=0,"",ROUND(AVERAGE(BE40:BI40),0)))</f>
        <v/>
      </c>
      <c r="BK40" s="140" t="str">
        <f aca="false">IF(R40="","",IF(R40="AD",3,IF(R40="A",2,IF(R40="B",1,IF(R40="C",0)))))</f>
        <v/>
      </c>
      <c r="BL40" s="140" t="str">
        <f aca="false">IF(S40="","",IF(S40="AD",3,IF(S40="A",2,IF(S40="B",1,IF(S40="C",0)))))</f>
        <v/>
      </c>
      <c r="BM40" s="140" t="str">
        <f aca="false">IF(T40="","",IF(T40="AD",3,IF(T40="A",2,IF(T40="B",1,IF(T40="C",0)))))</f>
        <v/>
      </c>
      <c r="BN40" s="140" t="str">
        <f aca="false">IF(U40="","",IF(U40="AD",3,IF(U40="A",2,IF(U40="B",1,IF(U40="C",0)))))</f>
        <v/>
      </c>
      <c r="BO40" s="141" t="str">
        <f aca="false">IF(B40="","",IF(COUNT(BK40:BN40)=0,"",ROUND(AVERAGE(BK40:BN40),0)))</f>
        <v/>
      </c>
      <c r="BP40" s="140" t="str">
        <f aca="false">IF(X40="","",IF(X40="AD",3,IF(X40="A",2,IF(X40="B",1,IF(X40="C",0)))))</f>
        <v/>
      </c>
      <c r="BQ40" s="140" t="str">
        <f aca="false">IF(Y40="","",IF(Y40="AD",3,IF(Y40="A",2,IF(Y40="B",1,IF(Y40="C",0)))))</f>
        <v/>
      </c>
      <c r="BR40" s="140" t="str">
        <f aca="false">IF(Z40="","",IF(Z40="AD",3,IF(Z40="A",2,IF(Z40="B",1,IF(Z40="C",0)))))</f>
        <v/>
      </c>
      <c r="BS40" s="140" t="str">
        <f aca="false">IF(AA40="","",IF(AA40="AD",3,IF(AA40="A",2,IF(AA40="B",1,IF(AA40="C",0)))))</f>
        <v/>
      </c>
      <c r="BT40" s="141" t="str">
        <f aca="false">IF(B40="","",IF(COUNT(BP40:BS40)=0,"",ROUND(AVERAGE(BP40:BS40),0)))</f>
        <v/>
      </c>
      <c r="BU40" s="142" t="str">
        <f aca="false">IF(ISERROR(AVERAGE(BD40,BJ40,BO40,BT40)),"",ROUND(AVERAGE(BD40,BJ40,BO40,BT40),0))</f>
        <v/>
      </c>
      <c r="BV40" s="140" t="str">
        <f aca="false">IF(AE40="","",IF(AE40="AD",3,IF(AE40="A",2,IF(AE40="B",1,IF(AE40="C",0)))))</f>
        <v/>
      </c>
      <c r="BW40" s="140" t="str">
        <f aca="false">IF(AF40="","",IF(AF40="AD",3,IF(AF40="A",2,IF(AF40="B",1,IF(AF40="C",0)))))</f>
        <v/>
      </c>
      <c r="BX40" s="140" t="str">
        <f aca="false">IF(AG40="","",IF(AG40="AD",3,IF(AG40="A",2,IF(AG40="B",1,IF(AG40="C",0)))))</f>
        <v/>
      </c>
      <c r="BY40" s="140" t="str">
        <f aca="false">IF(AH40="","",IF(AH40="AD",3,IF(AH40="A",2,IF(AH40="B",1,IF(AH40="C",0)))))</f>
        <v/>
      </c>
      <c r="BZ40" s="141" t="str">
        <f aca="false">IF(B40="","",IF(COUNT(BV40:BY40)=0,"",ROUND(AVERAGE(BV40:BY40),0)))</f>
        <v/>
      </c>
      <c r="CA40" s="140" t="str">
        <f aca="false">IF(AJ40="","",IF(AJ40="AD",3,IF(AJ40="A",2,IF(AJ40="B",1,IF(AJ40="C",0)))))</f>
        <v/>
      </c>
      <c r="CB40" s="140" t="str">
        <f aca="false">IF(AK40="","",IF(AK40="AD",3,IF(AK40="A",2,IF(AK40="B",1,IF(AK40="C",0)))))</f>
        <v/>
      </c>
      <c r="CC40" s="140" t="str">
        <f aca="false">IF(AL40="","",IF(AL40="AD",3,IF(AL40="A",2,IF(AL40="B",1,IF(AL40="C",0)))))</f>
        <v/>
      </c>
      <c r="CD40" s="141" t="str">
        <f aca="false">IF(B40="","",IF(COUNT(CA40:CC40)=0,"",ROUND(AVERAGE(CA40:CC40),0)))</f>
        <v/>
      </c>
    </row>
    <row r="41" customFormat="false" ht="12.75" hidden="false" customHeight="false" outlineLevel="0" collapsed="false">
      <c r="A41" s="130" t="n">
        <v>32</v>
      </c>
      <c r="B41" s="131" t="n">
        <f aca="false">'Datos '!D39</f>
        <v>0</v>
      </c>
      <c r="C41" s="132"/>
      <c r="D41" s="132"/>
      <c r="E41" s="132"/>
      <c r="F41" s="132"/>
      <c r="G41" s="132"/>
      <c r="H41" s="133"/>
      <c r="I41" s="134" t="str">
        <f aca="false">IF(BD41="","",IF(BD41=3,"AD",IF(BD41=2, "A",IF(BD41= 1, "B",IF(BD41= 0, "C")))))</f>
        <v/>
      </c>
      <c r="J41" s="135"/>
      <c r="K41" s="132"/>
      <c r="L41" s="132"/>
      <c r="M41" s="132"/>
      <c r="N41" s="132"/>
      <c r="O41" s="132"/>
      <c r="P41" s="134" t="str">
        <f aca="false">IF(BJ41="","",IF(BJ41=3,"AD",IF(BJ41=2, "A",IF(BJ41= 1, "B",IF(BJ41= 0, "C")))))</f>
        <v/>
      </c>
      <c r="Q41" s="135"/>
      <c r="R41" s="132"/>
      <c r="S41" s="132"/>
      <c r="T41" s="132"/>
      <c r="U41" s="132"/>
      <c r="V41" s="134" t="str">
        <f aca="false">IF(BO41="","",IF(BO41=3,"AD",IF(BO41=2, "A",IF(BO41= 1, "B",IF(BO41= 0, "C")))))</f>
        <v/>
      </c>
      <c r="W41" s="135"/>
      <c r="X41" s="132"/>
      <c r="Y41" s="132"/>
      <c r="Z41" s="132"/>
      <c r="AA41" s="132"/>
      <c r="AB41" s="134" t="str">
        <f aca="false">IF(BT41="","",IF(BT41=3,"AD",IF(BT41=2, "A",IF(BT41= 1, "B",IF(BT41= 0, "C")))))</f>
        <v/>
      </c>
      <c r="AC41" s="136"/>
      <c r="AD41" s="137" t="str">
        <f aca="false">IF(BU41="","",IF(BU41=3,"AD",IF(BU41=2, "A",IF(BU41= 1, "B",IF(BU41= 0, "C")))))</f>
        <v/>
      </c>
      <c r="AE41" s="132"/>
      <c r="AF41" s="132"/>
      <c r="AG41" s="132"/>
      <c r="AH41" s="132"/>
      <c r="AI41" s="138" t="str">
        <f aca="false">IF(BZ41="","",IF(BZ41=3,"AD",IF(BZ41=2, "A",IF(BZ41= 1, "B",IF(BZ41= 0, "C")))))</f>
        <v/>
      </c>
      <c r="AJ41" s="132"/>
      <c r="AK41" s="132"/>
      <c r="AL41" s="132"/>
      <c r="AM41" s="138" t="str">
        <f aca="false">IF(CD41="","",IF(CD41=3,"AD",IF(CD41=2, "A",IF(CD41= 1, "B",IF(CD41= 0, "C")))))</f>
        <v/>
      </c>
      <c r="AN41" s="139" t="str">
        <f aca="false">IF(AD41="","No presenta evidencias para su calificación",IF(AD41="AD","Demuestra aprendizaje que van más allá del nivel esperado",IF(AD41="A","Demuestra manejo satisfactorio en todas las tareas propuestas",IF(AD41="B","Está próximo al nivel esperado para lo cual requiere acompañamiento durante un tiempo razonable",IF(AD41= "C","No logro el desarrollo de las competencias",)))))</f>
        <v>No presenta evidencias para su calificación</v>
      </c>
      <c r="AO41" s="139"/>
      <c r="AP41" s="139"/>
      <c r="AQ41" s="139"/>
      <c r="AR41" s="139"/>
      <c r="AS41" s="139"/>
      <c r="AT41" s="139"/>
      <c r="AU41" s="139"/>
      <c r="AV41" s="139"/>
      <c r="AX41" s="140" t="str">
        <f aca="false">IF(C41="","",IF(C41="AD",3,IF(C41="A",2,IF(C41="B",1,IF(C41="C",0)))))</f>
        <v/>
      </c>
      <c r="AY41" s="140" t="str">
        <f aca="false">IF(D41="","",IF(D41="AD",3,IF(D41="A",2,IF(D41="B",1,IF(D41="C",0)))))</f>
        <v/>
      </c>
      <c r="AZ41" s="140" t="str">
        <f aca="false">IF(E41="","",IF(E41="AD",3,IF(E41="A",2,IF(E41="B",1,IF(E41="C",0)))))</f>
        <v/>
      </c>
      <c r="BA41" s="140" t="str">
        <f aca="false">IF(F41="","",IF(F41="AD",3,IF(F41="A",2,IF(F41="B",1,IF(F41="C",0)))))</f>
        <v/>
      </c>
      <c r="BB41" s="140" t="str">
        <f aca="false">IF(G41="","",IF(G41="AD",3,IF(G41="A",2,IF(G41="B",1,IF(G41="C",0)))))</f>
        <v/>
      </c>
      <c r="BC41" s="140" t="str">
        <f aca="false">IF(H41="","",IF(H41="AD",3,IF(H41="A",2,IF(H41="B",1,IF(H41="C",0)))))</f>
        <v/>
      </c>
      <c r="BD41" s="141" t="str">
        <f aca="false">IF(B41="","",IF(COUNT(AX41:BC41)=0,"",ROUND(AVERAGE(AX41:BC41),0)))</f>
        <v/>
      </c>
      <c r="BE41" s="140" t="str">
        <f aca="false">IF(K41="","",IF(K41="AD",3,IF(K41="A",2,IF(K41="B",1,IF(K41="C",0)))))</f>
        <v/>
      </c>
      <c r="BF41" s="140" t="str">
        <f aca="false">IF(L41="","",IF(L41="AD",3,IF(L41="A",2,IF(L41="B",1,IF(L41="C",0)))))</f>
        <v/>
      </c>
      <c r="BG41" s="140" t="str">
        <f aca="false">IF(M41="","",IF(M41="AD",3,IF(M41="A",2,IF(M41="B",1,IF(M41="C",0)))))</f>
        <v/>
      </c>
      <c r="BH41" s="140" t="str">
        <f aca="false">IF(N41="","",IF(N41="AD",3,IF(N41="A",2,IF(N41="B",1,IF(N41="C",0)))))</f>
        <v/>
      </c>
      <c r="BI41" s="140" t="str">
        <f aca="false">IF(O41="","",IF(O41="AD",3,IF(O41="A",2,IF(O41="B",1,IF(O41="C",0)))))</f>
        <v/>
      </c>
      <c r="BJ41" s="141" t="str">
        <f aca="false">IF(B41="","",IF(COUNT(BE41:BI41)=0,"",ROUND(AVERAGE(BE41:BI41),0)))</f>
        <v/>
      </c>
      <c r="BK41" s="140" t="str">
        <f aca="false">IF(R41="","",IF(R41="AD",3,IF(R41="A",2,IF(R41="B",1,IF(R41="C",0)))))</f>
        <v/>
      </c>
      <c r="BL41" s="140" t="str">
        <f aca="false">IF(S41="","",IF(S41="AD",3,IF(S41="A",2,IF(S41="B",1,IF(S41="C",0)))))</f>
        <v/>
      </c>
      <c r="BM41" s="140" t="str">
        <f aca="false">IF(T41="","",IF(T41="AD",3,IF(T41="A",2,IF(T41="B",1,IF(T41="C",0)))))</f>
        <v/>
      </c>
      <c r="BN41" s="140" t="str">
        <f aca="false">IF(U41="","",IF(U41="AD",3,IF(U41="A",2,IF(U41="B",1,IF(U41="C",0)))))</f>
        <v/>
      </c>
      <c r="BO41" s="141" t="str">
        <f aca="false">IF(B41="","",IF(COUNT(BK41:BN41)=0,"",ROUND(AVERAGE(BK41:BN41),0)))</f>
        <v/>
      </c>
      <c r="BP41" s="140" t="str">
        <f aca="false">IF(X41="","",IF(X41="AD",3,IF(X41="A",2,IF(X41="B",1,IF(X41="C",0)))))</f>
        <v/>
      </c>
      <c r="BQ41" s="140" t="str">
        <f aca="false">IF(Y41="","",IF(Y41="AD",3,IF(Y41="A",2,IF(Y41="B",1,IF(Y41="C",0)))))</f>
        <v/>
      </c>
      <c r="BR41" s="140" t="str">
        <f aca="false">IF(Z41="","",IF(Z41="AD",3,IF(Z41="A",2,IF(Z41="B",1,IF(Z41="C",0)))))</f>
        <v/>
      </c>
      <c r="BS41" s="140" t="str">
        <f aca="false">IF(AA41="","",IF(AA41="AD",3,IF(AA41="A",2,IF(AA41="B",1,IF(AA41="C",0)))))</f>
        <v/>
      </c>
      <c r="BT41" s="141" t="str">
        <f aca="false">IF(B41="","",IF(COUNT(BP41:BS41)=0,"",ROUND(AVERAGE(BP41:BS41),0)))</f>
        <v/>
      </c>
      <c r="BU41" s="142" t="str">
        <f aca="false">IF(ISERROR(AVERAGE(BD41,BJ41,BO41,BT41)),"",ROUND(AVERAGE(BD41,BJ41,BO41,BT41),0))</f>
        <v/>
      </c>
      <c r="BV41" s="140" t="str">
        <f aca="false">IF(AE41="","",IF(AE41="AD",3,IF(AE41="A",2,IF(AE41="B",1,IF(AE41="C",0)))))</f>
        <v/>
      </c>
      <c r="BW41" s="140" t="str">
        <f aca="false">IF(AF41="","",IF(AF41="AD",3,IF(AF41="A",2,IF(AF41="B",1,IF(AF41="C",0)))))</f>
        <v/>
      </c>
      <c r="BX41" s="140" t="str">
        <f aca="false">IF(AG41="","",IF(AG41="AD",3,IF(AG41="A",2,IF(AG41="B",1,IF(AG41="C",0)))))</f>
        <v/>
      </c>
      <c r="BY41" s="140" t="str">
        <f aca="false">IF(AH41="","",IF(AH41="AD",3,IF(AH41="A",2,IF(AH41="B",1,IF(AH41="C",0)))))</f>
        <v/>
      </c>
      <c r="BZ41" s="141" t="str">
        <f aca="false">IF(B41="","",IF(COUNT(BV41:BY41)=0,"",ROUND(AVERAGE(BV41:BY41),0)))</f>
        <v/>
      </c>
      <c r="CA41" s="140" t="str">
        <f aca="false">IF(AJ41="","",IF(AJ41="AD",3,IF(AJ41="A",2,IF(AJ41="B",1,IF(AJ41="C",0)))))</f>
        <v/>
      </c>
      <c r="CB41" s="140" t="str">
        <f aca="false">IF(AK41="","",IF(AK41="AD",3,IF(AK41="A",2,IF(AK41="B",1,IF(AK41="C",0)))))</f>
        <v/>
      </c>
      <c r="CC41" s="140" t="str">
        <f aca="false">IF(AL41="","",IF(AL41="AD",3,IF(AL41="A",2,IF(AL41="B",1,IF(AL41="C",0)))))</f>
        <v/>
      </c>
      <c r="CD41" s="141" t="str">
        <f aca="false">IF(B41="","",IF(COUNT(CA41:CC41)=0,"",ROUND(AVERAGE(CA41:CC41),0)))</f>
        <v/>
      </c>
    </row>
    <row r="42" customFormat="false" ht="12.75" hidden="false" customHeight="false" outlineLevel="0" collapsed="false">
      <c r="A42" s="130" t="n">
        <v>33</v>
      </c>
      <c r="B42" s="131" t="n">
        <f aca="false">'Datos '!D40</f>
        <v>0</v>
      </c>
      <c r="C42" s="132"/>
      <c r="D42" s="132"/>
      <c r="E42" s="132"/>
      <c r="F42" s="132"/>
      <c r="G42" s="132"/>
      <c r="H42" s="133"/>
      <c r="I42" s="134" t="str">
        <f aca="false">IF(BD42="","",IF(BD42=3,"AD",IF(BD42=2, "A",IF(BD42= 1, "B",IF(BD42= 0, "C")))))</f>
        <v/>
      </c>
      <c r="J42" s="135"/>
      <c r="K42" s="132"/>
      <c r="L42" s="132"/>
      <c r="M42" s="132"/>
      <c r="N42" s="132"/>
      <c r="O42" s="132"/>
      <c r="P42" s="134" t="str">
        <f aca="false">IF(BJ42="","",IF(BJ42=3,"AD",IF(BJ42=2, "A",IF(BJ42= 1, "B",IF(BJ42= 0, "C")))))</f>
        <v/>
      </c>
      <c r="Q42" s="135"/>
      <c r="R42" s="132"/>
      <c r="S42" s="132"/>
      <c r="T42" s="132"/>
      <c r="U42" s="132"/>
      <c r="V42" s="134" t="str">
        <f aca="false">IF(BO42="","",IF(BO42=3,"AD",IF(BO42=2, "A",IF(BO42= 1, "B",IF(BO42= 0, "C")))))</f>
        <v/>
      </c>
      <c r="W42" s="135"/>
      <c r="X42" s="132"/>
      <c r="Y42" s="132"/>
      <c r="Z42" s="132"/>
      <c r="AA42" s="132"/>
      <c r="AB42" s="134" t="str">
        <f aca="false">IF(BT42="","",IF(BT42=3,"AD",IF(BT42=2, "A",IF(BT42= 1, "B",IF(BT42= 0, "C")))))</f>
        <v/>
      </c>
      <c r="AC42" s="136"/>
      <c r="AD42" s="137" t="str">
        <f aca="false">IF(BU42="","",IF(BU42=3,"AD",IF(BU42=2, "A",IF(BU42= 1, "B",IF(BU42= 0, "C")))))</f>
        <v/>
      </c>
      <c r="AE42" s="132"/>
      <c r="AF42" s="132"/>
      <c r="AG42" s="132"/>
      <c r="AH42" s="132"/>
      <c r="AI42" s="138" t="str">
        <f aca="false">IF(BZ42="","",IF(BZ42=3,"AD",IF(BZ42=2, "A",IF(BZ42= 1, "B",IF(BZ42= 0, "C")))))</f>
        <v/>
      </c>
      <c r="AJ42" s="132"/>
      <c r="AK42" s="132"/>
      <c r="AL42" s="132"/>
      <c r="AM42" s="138" t="str">
        <f aca="false">IF(CD42="","",IF(CD42=3,"AD",IF(CD42=2, "A",IF(CD42= 1, "B",IF(CD42= 0, "C")))))</f>
        <v/>
      </c>
      <c r="AN42" s="139" t="str">
        <f aca="false">IF(AD42="","No presenta evidencias para su calificación",IF(AD42="AD","Demuestra aprendizaje que van más allá del nivel esperado",IF(AD42="A","Demuestra manejo satisfactorio en todas las tareas propuestas",IF(AD42="B","Está próximo al nivel esperado para lo cual requiere acompañamiento durante un tiempo razonable",IF(AD42= "C","No logro el desarrollo de las competencias",)))))</f>
        <v>No presenta evidencias para su calificación</v>
      </c>
      <c r="AO42" s="139"/>
      <c r="AP42" s="139"/>
      <c r="AQ42" s="139"/>
      <c r="AR42" s="139"/>
      <c r="AS42" s="139"/>
      <c r="AT42" s="139"/>
      <c r="AU42" s="139"/>
      <c r="AV42" s="139"/>
      <c r="AX42" s="140" t="str">
        <f aca="false">IF(C42="","",IF(C42="AD",3,IF(C42="A",2,IF(C42="B",1,IF(C42="C",0)))))</f>
        <v/>
      </c>
      <c r="AY42" s="140" t="str">
        <f aca="false">IF(D42="","",IF(D42="AD",3,IF(D42="A",2,IF(D42="B",1,IF(D42="C",0)))))</f>
        <v/>
      </c>
      <c r="AZ42" s="140" t="str">
        <f aca="false">IF(E42="","",IF(E42="AD",3,IF(E42="A",2,IF(E42="B",1,IF(E42="C",0)))))</f>
        <v/>
      </c>
      <c r="BA42" s="140" t="str">
        <f aca="false">IF(F42="","",IF(F42="AD",3,IF(F42="A",2,IF(F42="B",1,IF(F42="C",0)))))</f>
        <v/>
      </c>
      <c r="BB42" s="140" t="str">
        <f aca="false">IF(G42="","",IF(G42="AD",3,IF(G42="A",2,IF(G42="B",1,IF(G42="C",0)))))</f>
        <v/>
      </c>
      <c r="BC42" s="140" t="str">
        <f aca="false">IF(H42="","",IF(H42="AD",3,IF(H42="A",2,IF(H42="B",1,IF(H42="C",0)))))</f>
        <v/>
      </c>
      <c r="BD42" s="141" t="str">
        <f aca="false">IF(B42="","",IF(COUNT(AX42:BC42)=0,"",ROUND(AVERAGE(AX42:BC42),0)))</f>
        <v/>
      </c>
      <c r="BE42" s="140" t="str">
        <f aca="false">IF(K42="","",IF(K42="AD",3,IF(K42="A",2,IF(K42="B",1,IF(K42="C",0)))))</f>
        <v/>
      </c>
      <c r="BF42" s="140" t="str">
        <f aca="false">IF(L42="","",IF(L42="AD",3,IF(L42="A",2,IF(L42="B",1,IF(L42="C",0)))))</f>
        <v/>
      </c>
      <c r="BG42" s="140" t="str">
        <f aca="false">IF(M42="","",IF(M42="AD",3,IF(M42="A",2,IF(M42="B",1,IF(M42="C",0)))))</f>
        <v/>
      </c>
      <c r="BH42" s="140" t="str">
        <f aca="false">IF(N42="","",IF(N42="AD",3,IF(N42="A",2,IF(N42="B",1,IF(N42="C",0)))))</f>
        <v/>
      </c>
      <c r="BI42" s="140" t="str">
        <f aca="false">IF(O42="","",IF(O42="AD",3,IF(O42="A",2,IF(O42="B",1,IF(O42="C",0)))))</f>
        <v/>
      </c>
      <c r="BJ42" s="141" t="str">
        <f aca="false">IF(B42="","",IF(COUNT(BE42:BI42)=0,"",ROUND(AVERAGE(BE42:BI42),0)))</f>
        <v/>
      </c>
      <c r="BK42" s="140" t="str">
        <f aca="false">IF(R42="","",IF(R42="AD",3,IF(R42="A",2,IF(R42="B",1,IF(R42="C",0)))))</f>
        <v/>
      </c>
      <c r="BL42" s="140" t="str">
        <f aca="false">IF(S42="","",IF(S42="AD",3,IF(S42="A",2,IF(S42="B",1,IF(S42="C",0)))))</f>
        <v/>
      </c>
      <c r="BM42" s="140" t="str">
        <f aca="false">IF(T42="","",IF(T42="AD",3,IF(T42="A",2,IF(T42="B",1,IF(T42="C",0)))))</f>
        <v/>
      </c>
      <c r="BN42" s="140" t="str">
        <f aca="false">IF(U42="","",IF(U42="AD",3,IF(U42="A",2,IF(U42="B",1,IF(U42="C",0)))))</f>
        <v/>
      </c>
      <c r="BO42" s="141" t="str">
        <f aca="false">IF(B42="","",IF(COUNT(BK42:BN42)=0,"",ROUND(AVERAGE(BK42:BN42),0)))</f>
        <v/>
      </c>
      <c r="BP42" s="140" t="str">
        <f aca="false">IF(X42="","",IF(X42="AD",3,IF(X42="A",2,IF(X42="B",1,IF(X42="C",0)))))</f>
        <v/>
      </c>
      <c r="BQ42" s="140" t="str">
        <f aca="false">IF(Y42="","",IF(Y42="AD",3,IF(Y42="A",2,IF(Y42="B",1,IF(Y42="C",0)))))</f>
        <v/>
      </c>
      <c r="BR42" s="140" t="str">
        <f aca="false">IF(Z42="","",IF(Z42="AD",3,IF(Z42="A",2,IF(Z42="B",1,IF(Z42="C",0)))))</f>
        <v/>
      </c>
      <c r="BS42" s="140" t="str">
        <f aca="false">IF(AA42="","",IF(AA42="AD",3,IF(AA42="A",2,IF(AA42="B",1,IF(AA42="C",0)))))</f>
        <v/>
      </c>
      <c r="BT42" s="141" t="str">
        <f aca="false">IF(B42="","",IF(COUNT(BP42:BS42)=0,"",ROUND(AVERAGE(BP42:BS42),0)))</f>
        <v/>
      </c>
      <c r="BU42" s="142" t="str">
        <f aca="false">IF(ISERROR(AVERAGE(BD42,BJ42,BO42,BT42)),"",ROUND(AVERAGE(BD42,BJ42,BO42,BT42),0))</f>
        <v/>
      </c>
      <c r="BV42" s="140" t="str">
        <f aca="false">IF(AE42="","",IF(AE42="AD",3,IF(AE42="A",2,IF(AE42="B",1,IF(AE42="C",0)))))</f>
        <v/>
      </c>
      <c r="BW42" s="140" t="str">
        <f aca="false">IF(AF42="","",IF(AF42="AD",3,IF(AF42="A",2,IF(AF42="B",1,IF(AF42="C",0)))))</f>
        <v/>
      </c>
      <c r="BX42" s="140" t="str">
        <f aca="false">IF(AG42="","",IF(AG42="AD",3,IF(AG42="A",2,IF(AG42="B",1,IF(AG42="C",0)))))</f>
        <v/>
      </c>
      <c r="BY42" s="140" t="str">
        <f aca="false">IF(AH42="","",IF(AH42="AD",3,IF(AH42="A",2,IF(AH42="B",1,IF(AH42="C",0)))))</f>
        <v/>
      </c>
      <c r="BZ42" s="141" t="str">
        <f aca="false">IF(B42="","",IF(COUNT(BV42:BY42)=0,"",ROUND(AVERAGE(BV42:BY42),0)))</f>
        <v/>
      </c>
      <c r="CA42" s="140" t="str">
        <f aca="false">IF(AJ42="","",IF(AJ42="AD",3,IF(AJ42="A",2,IF(AJ42="B",1,IF(AJ42="C",0)))))</f>
        <v/>
      </c>
      <c r="CB42" s="140" t="str">
        <f aca="false">IF(AK42="","",IF(AK42="AD",3,IF(AK42="A",2,IF(AK42="B",1,IF(AK42="C",0)))))</f>
        <v/>
      </c>
      <c r="CC42" s="140" t="str">
        <f aca="false">IF(AL42="","",IF(AL42="AD",3,IF(AL42="A",2,IF(AL42="B",1,IF(AL42="C",0)))))</f>
        <v/>
      </c>
      <c r="CD42" s="141" t="str">
        <f aca="false">IF(B42="","",IF(COUNT(CA42:CC42)=0,"",ROUND(AVERAGE(CA42:CC42),0)))</f>
        <v/>
      </c>
    </row>
    <row r="43" customFormat="false" ht="12.75" hidden="false" customHeight="false" outlineLevel="0" collapsed="false">
      <c r="A43" s="130" t="n">
        <v>34</v>
      </c>
      <c r="B43" s="131" t="n">
        <f aca="false">'Datos '!D41</f>
        <v>0</v>
      </c>
      <c r="C43" s="132"/>
      <c r="D43" s="132"/>
      <c r="E43" s="132"/>
      <c r="F43" s="132"/>
      <c r="G43" s="132"/>
      <c r="H43" s="133"/>
      <c r="I43" s="134" t="str">
        <f aca="false">IF(BD43="","",IF(BD43=3,"AD",IF(BD43=2, "A",IF(BD43= 1, "B",IF(BD43= 0, "C")))))</f>
        <v/>
      </c>
      <c r="J43" s="135"/>
      <c r="K43" s="132"/>
      <c r="L43" s="132"/>
      <c r="M43" s="132"/>
      <c r="N43" s="132"/>
      <c r="O43" s="132"/>
      <c r="P43" s="134" t="str">
        <f aca="false">IF(BJ43="","",IF(BJ43=3,"AD",IF(BJ43=2, "A",IF(BJ43= 1, "B",IF(BJ43= 0, "C")))))</f>
        <v/>
      </c>
      <c r="Q43" s="135"/>
      <c r="R43" s="132"/>
      <c r="S43" s="132"/>
      <c r="T43" s="132"/>
      <c r="U43" s="132"/>
      <c r="V43" s="134" t="str">
        <f aca="false">IF(BO43="","",IF(BO43=3,"AD",IF(BO43=2, "A",IF(BO43= 1, "B",IF(BO43= 0, "C")))))</f>
        <v/>
      </c>
      <c r="W43" s="135"/>
      <c r="X43" s="132"/>
      <c r="Y43" s="132"/>
      <c r="Z43" s="132"/>
      <c r="AA43" s="132"/>
      <c r="AB43" s="134" t="str">
        <f aca="false">IF(BT43="","",IF(BT43=3,"AD",IF(BT43=2, "A",IF(BT43= 1, "B",IF(BT43= 0, "C")))))</f>
        <v/>
      </c>
      <c r="AC43" s="136"/>
      <c r="AD43" s="137" t="str">
        <f aca="false">IF(BU43="","",IF(BU43=3,"AD",IF(BU43=2, "A",IF(BU43= 1, "B",IF(BU43= 0, "C")))))</f>
        <v/>
      </c>
      <c r="AE43" s="132"/>
      <c r="AF43" s="132"/>
      <c r="AG43" s="132"/>
      <c r="AH43" s="132"/>
      <c r="AI43" s="138" t="str">
        <f aca="false">IF(BZ43="","",IF(BZ43=3,"AD",IF(BZ43=2, "A",IF(BZ43= 1, "B",IF(BZ43= 0, "C")))))</f>
        <v/>
      </c>
      <c r="AJ43" s="132"/>
      <c r="AK43" s="132"/>
      <c r="AL43" s="132"/>
      <c r="AM43" s="138" t="str">
        <f aca="false">IF(CD43="","",IF(CD43=3,"AD",IF(CD43=2, "A",IF(CD43= 1, "B",IF(CD43= 0, "C")))))</f>
        <v/>
      </c>
      <c r="AN43" s="139" t="str">
        <f aca="false">IF(AD43="","No presenta evidencias para su calificación",IF(AD43="AD","Demuestra aprendizaje que van más allá del nivel esperado",IF(AD43="A","Demuestra manejo satisfactorio en todas las tareas propuestas",IF(AD43="B","Está próximo al nivel esperado para lo cual requiere acompañamiento durante un tiempo razonable",IF(AD43= "C","No logro el desarrollo de las competencias",)))))</f>
        <v>No presenta evidencias para su calificación</v>
      </c>
      <c r="AO43" s="139"/>
      <c r="AP43" s="139"/>
      <c r="AQ43" s="139"/>
      <c r="AR43" s="139"/>
      <c r="AS43" s="139"/>
      <c r="AT43" s="139"/>
      <c r="AU43" s="139"/>
      <c r="AV43" s="139"/>
      <c r="AX43" s="140" t="str">
        <f aca="false">IF(C43="","",IF(C43="AD",3,IF(C43="A",2,IF(C43="B",1,IF(C43="C",0)))))</f>
        <v/>
      </c>
      <c r="AY43" s="140" t="str">
        <f aca="false">IF(D43="","",IF(D43="AD",3,IF(D43="A",2,IF(D43="B",1,IF(D43="C",0)))))</f>
        <v/>
      </c>
      <c r="AZ43" s="140" t="str">
        <f aca="false">IF(E43="","",IF(E43="AD",3,IF(E43="A",2,IF(E43="B",1,IF(E43="C",0)))))</f>
        <v/>
      </c>
      <c r="BA43" s="140" t="str">
        <f aca="false">IF(F43="","",IF(F43="AD",3,IF(F43="A",2,IF(F43="B",1,IF(F43="C",0)))))</f>
        <v/>
      </c>
      <c r="BB43" s="140" t="str">
        <f aca="false">IF(G43="","",IF(G43="AD",3,IF(G43="A",2,IF(G43="B",1,IF(G43="C",0)))))</f>
        <v/>
      </c>
      <c r="BC43" s="140" t="str">
        <f aca="false">IF(H43="","",IF(H43="AD",3,IF(H43="A",2,IF(H43="B",1,IF(H43="C",0)))))</f>
        <v/>
      </c>
      <c r="BD43" s="141" t="str">
        <f aca="false">IF(B43="","",IF(COUNT(AX43:BC43)=0,"",ROUND(AVERAGE(AX43:BC43),0)))</f>
        <v/>
      </c>
      <c r="BE43" s="140" t="str">
        <f aca="false">IF(K43="","",IF(K43="AD",3,IF(K43="A",2,IF(K43="B",1,IF(K43="C",0)))))</f>
        <v/>
      </c>
      <c r="BF43" s="140" t="str">
        <f aca="false">IF(L43="","",IF(L43="AD",3,IF(L43="A",2,IF(L43="B",1,IF(L43="C",0)))))</f>
        <v/>
      </c>
      <c r="BG43" s="140" t="str">
        <f aca="false">IF(M43="","",IF(M43="AD",3,IF(M43="A",2,IF(M43="B",1,IF(M43="C",0)))))</f>
        <v/>
      </c>
      <c r="BH43" s="140" t="str">
        <f aca="false">IF(N43="","",IF(N43="AD",3,IF(N43="A",2,IF(N43="B",1,IF(N43="C",0)))))</f>
        <v/>
      </c>
      <c r="BI43" s="140" t="str">
        <f aca="false">IF(O43="","",IF(O43="AD",3,IF(O43="A",2,IF(O43="B",1,IF(O43="C",0)))))</f>
        <v/>
      </c>
      <c r="BJ43" s="141" t="str">
        <f aca="false">IF(B43="","",IF(COUNT(BE43:BI43)=0,"",ROUND(AVERAGE(BE43:BI43),0)))</f>
        <v/>
      </c>
      <c r="BK43" s="140" t="str">
        <f aca="false">IF(R43="","",IF(R43="AD",3,IF(R43="A",2,IF(R43="B",1,IF(R43="C",0)))))</f>
        <v/>
      </c>
      <c r="BL43" s="140" t="str">
        <f aca="false">IF(S43="","",IF(S43="AD",3,IF(S43="A",2,IF(S43="B",1,IF(S43="C",0)))))</f>
        <v/>
      </c>
      <c r="BM43" s="140" t="str">
        <f aca="false">IF(T43="","",IF(T43="AD",3,IF(T43="A",2,IF(T43="B",1,IF(T43="C",0)))))</f>
        <v/>
      </c>
      <c r="BN43" s="140" t="str">
        <f aca="false">IF(U43="","",IF(U43="AD",3,IF(U43="A",2,IF(U43="B",1,IF(U43="C",0)))))</f>
        <v/>
      </c>
      <c r="BO43" s="141" t="str">
        <f aca="false">IF(B43="","",IF(COUNT(BK43:BN43)=0,"",ROUND(AVERAGE(BK43:BN43),0)))</f>
        <v/>
      </c>
      <c r="BP43" s="140" t="str">
        <f aca="false">IF(X43="","",IF(X43="AD",3,IF(X43="A",2,IF(X43="B",1,IF(X43="C",0)))))</f>
        <v/>
      </c>
      <c r="BQ43" s="140" t="str">
        <f aca="false">IF(Y43="","",IF(Y43="AD",3,IF(Y43="A",2,IF(Y43="B",1,IF(Y43="C",0)))))</f>
        <v/>
      </c>
      <c r="BR43" s="140" t="str">
        <f aca="false">IF(Z43="","",IF(Z43="AD",3,IF(Z43="A",2,IF(Z43="B",1,IF(Z43="C",0)))))</f>
        <v/>
      </c>
      <c r="BS43" s="140" t="str">
        <f aca="false">IF(AA43="","",IF(AA43="AD",3,IF(AA43="A",2,IF(AA43="B",1,IF(AA43="C",0)))))</f>
        <v/>
      </c>
      <c r="BT43" s="141" t="str">
        <f aca="false">IF(B43="","",IF(COUNT(BP43:BS43)=0,"",ROUND(AVERAGE(BP43:BS43),0)))</f>
        <v/>
      </c>
      <c r="BU43" s="142" t="str">
        <f aca="false">IF(ISERROR(AVERAGE(BD43,BJ43,BO43,BT43)),"",ROUND(AVERAGE(BD43,BJ43,BO43,BT43),0))</f>
        <v/>
      </c>
      <c r="BV43" s="140" t="str">
        <f aca="false">IF(AE43="","",IF(AE43="AD",3,IF(AE43="A",2,IF(AE43="B",1,IF(AE43="C",0)))))</f>
        <v/>
      </c>
      <c r="BW43" s="140" t="str">
        <f aca="false">IF(AF43="","",IF(AF43="AD",3,IF(AF43="A",2,IF(AF43="B",1,IF(AF43="C",0)))))</f>
        <v/>
      </c>
      <c r="BX43" s="140" t="str">
        <f aca="false">IF(AG43="","",IF(AG43="AD",3,IF(AG43="A",2,IF(AG43="B",1,IF(AG43="C",0)))))</f>
        <v/>
      </c>
      <c r="BY43" s="140" t="str">
        <f aca="false">IF(AH43="","",IF(AH43="AD",3,IF(AH43="A",2,IF(AH43="B",1,IF(AH43="C",0)))))</f>
        <v/>
      </c>
      <c r="BZ43" s="141" t="str">
        <f aca="false">IF(B43="","",IF(COUNT(BV43:BY43)=0,"",ROUND(AVERAGE(BV43:BY43),0)))</f>
        <v/>
      </c>
      <c r="CA43" s="140" t="str">
        <f aca="false">IF(AJ43="","",IF(AJ43="AD",3,IF(AJ43="A",2,IF(AJ43="B",1,IF(AJ43="C",0)))))</f>
        <v/>
      </c>
      <c r="CB43" s="140" t="str">
        <f aca="false">IF(AK43="","",IF(AK43="AD",3,IF(AK43="A",2,IF(AK43="B",1,IF(AK43="C",0)))))</f>
        <v/>
      </c>
      <c r="CC43" s="140" t="str">
        <f aca="false">IF(AL43="","",IF(AL43="AD",3,IF(AL43="A",2,IF(AL43="B",1,IF(AL43="C",0)))))</f>
        <v/>
      </c>
      <c r="CD43" s="141" t="str">
        <f aca="false">IF(B43="","",IF(COUNT(CA43:CC43)=0,"",ROUND(AVERAGE(CA43:CC43),0)))</f>
        <v/>
      </c>
    </row>
    <row r="44" customFormat="false" ht="12.75" hidden="false" customHeight="false" outlineLevel="0" collapsed="false">
      <c r="A44" s="130" t="n">
        <v>35</v>
      </c>
      <c r="B44" s="131" t="n">
        <f aca="false">'Datos '!D42</f>
        <v>0</v>
      </c>
      <c r="C44" s="132"/>
      <c r="D44" s="132"/>
      <c r="E44" s="132"/>
      <c r="F44" s="132"/>
      <c r="G44" s="132"/>
      <c r="H44" s="133"/>
      <c r="I44" s="134" t="str">
        <f aca="false">IF(BD44="","",IF(BD44=3,"AD",IF(BD44=2, "A",IF(BD44= 1, "B",IF(BD44= 0, "C")))))</f>
        <v/>
      </c>
      <c r="J44" s="135"/>
      <c r="K44" s="132"/>
      <c r="L44" s="132"/>
      <c r="M44" s="132"/>
      <c r="N44" s="132"/>
      <c r="O44" s="132"/>
      <c r="P44" s="134" t="str">
        <f aca="false">IF(BJ44="","",IF(BJ44=3,"AD",IF(BJ44=2, "A",IF(BJ44= 1, "B",IF(BJ44= 0, "C")))))</f>
        <v/>
      </c>
      <c r="Q44" s="135"/>
      <c r="R44" s="132"/>
      <c r="S44" s="132"/>
      <c r="T44" s="132"/>
      <c r="U44" s="132"/>
      <c r="V44" s="134" t="str">
        <f aca="false">IF(BO44="","",IF(BO44=3,"AD",IF(BO44=2, "A",IF(BO44= 1, "B",IF(BO44= 0, "C")))))</f>
        <v/>
      </c>
      <c r="W44" s="135"/>
      <c r="X44" s="132"/>
      <c r="Y44" s="132"/>
      <c r="Z44" s="132"/>
      <c r="AA44" s="132"/>
      <c r="AB44" s="134" t="str">
        <f aca="false">IF(BT44="","",IF(BT44=3,"AD",IF(BT44=2, "A",IF(BT44= 1, "B",IF(BT44= 0, "C")))))</f>
        <v/>
      </c>
      <c r="AC44" s="136"/>
      <c r="AD44" s="137" t="str">
        <f aca="false">IF(BU44="","",IF(BU44=3,"AD",IF(BU44=2, "A",IF(BU44= 1, "B",IF(BU44= 0, "C")))))</f>
        <v/>
      </c>
      <c r="AE44" s="132"/>
      <c r="AF44" s="132"/>
      <c r="AG44" s="132"/>
      <c r="AH44" s="132"/>
      <c r="AI44" s="138" t="str">
        <f aca="false">IF(BZ44="","",IF(BZ44=3,"AD",IF(BZ44=2, "A",IF(BZ44= 1, "B",IF(BZ44= 0, "C")))))</f>
        <v/>
      </c>
      <c r="AJ44" s="132"/>
      <c r="AK44" s="132"/>
      <c r="AL44" s="132"/>
      <c r="AM44" s="138" t="str">
        <f aca="false">IF(CD44="","",IF(CD44=3,"AD",IF(CD44=2, "A",IF(CD44= 1, "B",IF(CD44= 0, "C")))))</f>
        <v/>
      </c>
      <c r="AN44" s="139" t="str">
        <f aca="false">IF(AD44="","No presenta evidencias para su calificación",IF(AD44="AD","Demuestra aprendizaje que van más allá del nivel esperado",IF(AD44="A","Demuestra manejo satisfactorio en todas las tareas propuestas",IF(AD44="B","Está próximo al nivel esperado para lo cual requiere acompañamiento durante un tiempo razonable",IF(AD44= "C","No logro el desarrollo de las competencias",)))))</f>
        <v>No presenta evidencias para su calificación</v>
      </c>
      <c r="AO44" s="139"/>
      <c r="AP44" s="139"/>
      <c r="AQ44" s="139"/>
      <c r="AR44" s="139"/>
      <c r="AS44" s="139"/>
      <c r="AT44" s="139"/>
      <c r="AU44" s="139"/>
      <c r="AV44" s="139"/>
      <c r="AX44" s="140" t="str">
        <f aca="false">IF(C44="","",IF(C44="AD",3,IF(C44="A",2,IF(C44="B",1,IF(C44="C",0)))))</f>
        <v/>
      </c>
      <c r="AY44" s="140" t="str">
        <f aca="false">IF(D44="","",IF(D44="AD",3,IF(D44="A",2,IF(D44="B",1,IF(D44="C",0)))))</f>
        <v/>
      </c>
      <c r="AZ44" s="140" t="str">
        <f aca="false">IF(E44="","",IF(E44="AD",3,IF(E44="A",2,IF(E44="B",1,IF(E44="C",0)))))</f>
        <v/>
      </c>
      <c r="BA44" s="140" t="str">
        <f aca="false">IF(F44="","",IF(F44="AD",3,IF(F44="A",2,IF(F44="B",1,IF(F44="C",0)))))</f>
        <v/>
      </c>
      <c r="BB44" s="140" t="str">
        <f aca="false">IF(G44="","",IF(G44="AD",3,IF(G44="A",2,IF(G44="B",1,IF(G44="C",0)))))</f>
        <v/>
      </c>
      <c r="BC44" s="140" t="str">
        <f aca="false">IF(H44="","",IF(H44="AD",3,IF(H44="A",2,IF(H44="B",1,IF(H44="C",0)))))</f>
        <v/>
      </c>
      <c r="BD44" s="141" t="str">
        <f aca="false">IF(B44="","",IF(COUNT(AX44:BC44)=0,"",ROUND(AVERAGE(AX44:BC44),0)))</f>
        <v/>
      </c>
      <c r="BE44" s="140" t="str">
        <f aca="false">IF(K44="","",IF(K44="AD",3,IF(K44="A",2,IF(K44="B",1,IF(K44="C",0)))))</f>
        <v/>
      </c>
      <c r="BF44" s="140" t="str">
        <f aca="false">IF(L44="","",IF(L44="AD",3,IF(L44="A",2,IF(L44="B",1,IF(L44="C",0)))))</f>
        <v/>
      </c>
      <c r="BG44" s="140" t="str">
        <f aca="false">IF(M44="","",IF(M44="AD",3,IF(M44="A",2,IF(M44="B",1,IF(M44="C",0)))))</f>
        <v/>
      </c>
      <c r="BH44" s="140" t="str">
        <f aca="false">IF(N44="","",IF(N44="AD",3,IF(N44="A",2,IF(N44="B",1,IF(N44="C",0)))))</f>
        <v/>
      </c>
      <c r="BI44" s="140" t="str">
        <f aca="false">IF(O44="","",IF(O44="AD",3,IF(O44="A",2,IF(O44="B",1,IF(O44="C",0)))))</f>
        <v/>
      </c>
      <c r="BJ44" s="141" t="str">
        <f aca="false">IF(B44="","",IF(COUNT(BE44:BI44)=0,"",ROUND(AVERAGE(BE44:BI44),0)))</f>
        <v/>
      </c>
      <c r="BK44" s="140" t="str">
        <f aca="false">IF(R44="","",IF(R44="AD",3,IF(R44="A",2,IF(R44="B",1,IF(R44="C",0)))))</f>
        <v/>
      </c>
      <c r="BL44" s="140" t="str">
        <f aca="false">IF(S44="","",IF(S44="AD",3,IF(S44="A",2,IF(S44="B",1,IF(S44="C",0)))))</f>
        <v/>
      </c>
      <c r="BM44" s="140" t="str">
        <f aca="false">IF(T44="","",IF(T44="AD",3,IF(T44="A",2,IF(T44="B",1,IF(T44="C",0)))))</f>
        <v/>
      </c>
      <c r="BN44" s="140" t="str">
        <f aca="false">IF(U44="","",IF(U44="AD",3,IF(U44="A",2,IF(U44="B",1,IF(U44="C",0)))))</f>
        <v/>
      </c>
      <c r="BO44" s="141" t="str">
        <f aca="false">IF(B44="","",IF(COUNT(BK44:BN44)=0,"",ROUND(AVERAGE(BK44:BN44),0)))</f>
        <v/>
      </c>
      <c r="BP44" s="140" t="str">
        <f aca="false">IF(X44="","",IF(X44="AD",3,IF(X44="A",2,IF(X44="B",1,IF(X44="C",0)))))</f>
        <v/>
      </c>
      <c r="BQ44" s="140" t="str">
        <f aca="false">IF(Y44="","",IF(Y44="AD",3,IF(Y44="A",2,IF(Y44="B",1,IF(Y44="C",0)))))</f>
        <v/>
      </c>
      <c r="BR44" s="140" t="str">
        <f aca="false">IF(Z44="","",IF(Z44="AD",3,IF(Z44="A",2,IF(Z44="B",1,IF(Z44="C",0)))))</f>
        <v/>
      </c>
      <c r="BS44" s="140" t="str">
        <f aca="false">IF(AA44="","",IF(AA44="AD",3,IF(AA44="A",2,IF(AA44="B",1,IF(AA44="C",0)))))</f>
        <v/>
      </c>
      <c r="BT44" s="141" t="str">
        <f aca="false">IF(B44="","",IF(COUNT(BP44:BS44)=0,"",ROUND(AVERAGE(BP44:BS44),0)))</f>
        <v/>
      </c>
      <c r="BU44" s="142" t="str">
        <f aca="false">IF(ISERROR(AVERAGE(BD44,BJ44,BO44,BT44)),"",ROUND(AVERAGE(BD44,BJ44,BO44,BT44),0))</f>
        <v/>
      </c>
      <c r="BV44" s="140" t="str">
        <f aca="false">IF(AE44="","",IF(AE44="AD",3,IF(AE44="A",2,IF(AE44="B",1,IF(AE44="C",0)))))</f>
        <v/>
      </c>
      <c r="BW44" s="140" t="str">
        <f aca="false">IF(AF44="","",IF(AF44="AD",3,IF(AF44="A",2,IF(AF44="B",1,IF(AF44="C",0)))))</f>
        <v/>
      </c>
      <c r="BX44" s="140" t="str">
        <f aca="false">IF(AG44="","",IF(AG44="AD",3,IF(AG44="A",2,IF(AG44="B",1,IF(AG44="C",0)))))</f>
        <v/>
      </c>
      <c r="BY44" s="140" t="str">
        <f aca="false">IF(AH44="","",IF(AH44="AD",3,IF(AH44="A",2,IF(AH44="B",1,IF(AH44="C",0)))))</f>
        <v/>
      </c>
      <c r="BZ44" s="141" t="str">
        <f aca="false">IF(B44="","",IF(COUNT(BV44:BY44)=0,"",ROUND(AVERAGE(BV44:BY44),0)))</f>
        <v/>
      </c>
      <c r="CA44" s="140" t="str">
        <f aca="false">IF(AJ44="","",IF(AJ44="AD",3,IF(AJ44="A",2,IF(AJ44="B",1,IF(AJ44="C",0)))))</f>
        <v/>
      </c>
      <c r="CB44" s="140" t="str">
        <f aca="false">IF(AK44="","",IF(AK44="AD",3,IF(AK44="A",2,IF(AK44="B",1,IF(AK44="C",0)))))</f>
        <v/>
      </c>
      <c r="CC44" s="140" t="str">
        <f aca="false">IF(AL44="","",IF(AL44="AD",3,IF(AL44="A",2,IF(AL44="B",1,IF(AL44="C",0)))))</f>
        <v/>
      </c>
      <c r="CD44" s="141" t="str">
        <f aca="false">IF(B44="","",IF(COUNT(CA44:CC44)=0,"",ROUND(AVERAGE(CA44:CC44),0)))</f>
        <v/>
      </c>
    </row>
    <row r="45" customFormat="false" ht="12.75" hidden="false" customHeight="false" outlineLevel="0" collapsed="false">
      <c r="A45" s="130" t="n">
        <v>36</v>
      </c>
      <c r="B45" s="131" t="n">
        <f aca="false">'Datos '!D43</f>
        <v>0</v>
      </c>
      <c r="C45" s="132"/>
      <c r="D45" s="132"/>
      <c r="E45" s="132"/>
      <c r="F45" s="132"/>
      <c r="G45" s="132"/>
      <c r="H45" s="133"/>
      <c r="I45" s="134" t="str">
        <f aca="false">IF(BD45="","",IF(BD45=3,"AD",IF(BD45=2, "A",IF(BD45= 1, "B",IF(BD45= 0, "C")))))</f>
        <v/>
      </c>
      <c r="J45" s="135"/>
      <c r="K45" s="132"/>
      <c r="L45" s="132"/>
      <c r="M45" s="132"/>
      <c r="N45" s="132"/>
      <c r="O45" s="132"/>
      <c r="P45" s="134" t="str">
        <f aca="false">IF(BJ45="","",IF(BJ45=3,"AD",IF(BJ45=2, "A",IF(BJ45= 1, "B",IF(BJ45= 0, "C")))))</f>
        <v/>
      </c>
      <c r="Q45" s="135"/>
      <c r="R45" s="132"/>
      <c r="S45" s="132"/>
      <c r="T45" s="132"/>
      <c r="U45" s="132"/>
      <c r="V45" s="134" t="str">
        <f aca="false">IF(BO45="","",IF(BO45=3,"AD",IF(BO45=2, "A",IF(BO45= 1, "B",IF(BO45= 0, "C")))))</f>
        <v/>
      </c>
      <c r="W45" s="135"/>
      <c r="X45" s="132"/>
      <c r="Y45" s="132"/>
      <c r="Z45" s="132"/>
      <c r="AA45" s="132"/>
      <c r="AB45" s="134" t="str">
        <f aca="false">IF(BT45="","",IF(BT45=3,"AD",IF(BT45=2, "A",IF(BT45= 1, "B",IF(BT45= 0, "C")))))</f>
        <v/>
      </c>
      <c r="AC45" s="136"/>
      <c r="AD45" s="137" t="str">
        <f aca="false">IF(BU45="","",IF(BU45=3,"AD",IF(BU45=2, "A",IF(BU45= 1, "B",IF(BU45= 0, "C")))))</f>
        <v/>
      </c>
      <c r="AE45" s="132"/>
      <c r="AF45" s="132"/>
      <c r="AG45" s="132"/>
      <c r="AH45" s="132"/>
      <c r="AI45" s="138" t="str">
        <f aca="false">IF(BZ45="","",IF(BZ45=3,"AD",IF(BZ45=2, "A",IF(BZ45= 1, "B",IF(BZ45= 0, "C")))))</f>
        <v/>
      </c>
      <c r="AJ45" s="132"/>
      <c r="AK45" s="132"/>
      <c r="AL45" s="132"/>
      <c r="AM45" s="138" t="str">
        <f aca="false">IF(CD45="","",IF(CD45=3,"AD",IF(CD45=2, "A",IF(CD45= 1, "B",IF(CD45= 0, "C")))))</f>
        <v/>
      </c>
      <c r="AN45" s="139" t="str">
        <f aca="false">IF(AD45="","No presenta evidencias para su calificación",IF(AD45="AD","Demuestra aprendizaje que van más allá del nivel esperado",IF(AD45="A","Demuestra manejo satisfactorio en todas las tareas propuestas",IF(AD45="B","Está próximo al nivel esperado para lo cual requiere acompañamiento durante un tiempo razonable",IF(AD45= "C","No logro el desarrollo de las competencias",)))))</f>
        <v>No presenta evidencias para su calificación</v>
      </c>
      <c r="AO45" s="139"/>
      <c r="AP45" s="139"/>
      <c r="AQ45" s="139"/>
      <c r="AR45" s="139"/>
      <c r="AS45" s="139"/>
      <c r="AT45" s="139"/>
      <c r="AU45" s="139"/>
      <c r="AV45" s="139"/>
      <c r="AX45" s="140" t="str">
        <f aca="false">IF(C45="","",IF(C45="AD",3,IF(C45="A",2,IF(C45="B",1,IF(C45="C",0)))))</f>
        <v/>
      </c>
      <c r="AY45" s="140" t="str">
        <f aca="false">IF(D45="","",IF(D45="AD",3,IF(D45="A",2,IF(D45="B",1,IF(D45="C",0)))))</f>
        <v/>
      </c>
      <c r="AZ45" s="140" t="str">
        <f aca="false">IF(E45="","",IF(E45="AD",3,IF(E45="A",2,IF(E45="B",1,IF(E45="C",0)))))</f>
        <v/>
      </c>
      <c r="BA45" s="140" t="str">
        <f aca="false">IF(F45="","",IF(F45="AD",3,IF(F45="A",2,IF(F45="B",1,IF(F45="C",0)))))</f>
        <v/>
      </c>
      <c r="BB45" s="140" t="str">
        <f aca="false">IF(G45="","",IF(G45="AD",3,IF(G45="A",2,IF(G45="B",1,IF(G45="C",0)))))</f>
        <v/>
      </c>
      <c r="BC45" s="140" t="str">
        <f aca="false">IF(H45="","",IF(H45="AD",3,IF(H45="A",2,IF(H45="B",1,IF(H45="C",0)))))</f>
        <v/>
      </c>
      <c r="BD45" s="141" t="str">
        <f aca="false">IF(B45="","",IF(COUNT(AX45:BC45)=0,"",ROUND(AVERAGE(AX45:BC45),0)))</f>
        <v/>
      </c>
      <c r="BE45" s="140" t="str">
        <f aca="false">IF(K45="","",IF(K45="AD",3,IF(K45="A",2,IF(K45="B",1,IF(K45="C",0)))))</f>
        <v/>
      </c>
      <c r="BF45" s="140" t="str">
        <f aca="false">IF(L45="","",IF(L45="AD",3,IF(L45="A",2,IF(L45="B",1,IF(L45="C",0)))))</f>
        <v/>
      </c>
      <c r="BG45" s="140" t="str">
        <f aca="false">IF(M45="","",IF(M45="AD",3,IF(M45="A",2,IF(M45="B",1,IF(M45="C",0)))))</f>
        <v/>
      </c>
      <c r="BH45" s="140" t="str">
        <f aca="false">IF(N45="","",IF(N45="AD",3,IF(N45="A",2,IF(N45="B",1,IF(N45="C",0)))))</f>
        <v/>
      </c>
      <c r="BI45" s="140" t="str">
        <f aca="false">IF(O45="","",IF(O45="AD",3,IF(O45="A",2,IF(O45="B",1,IF(O45="C",0)))))</f>
        <v/>
      </c>
      <c r="BJ45" s="141" t="str">
        <f aca="false">IF(B45="","",IF(COUNT(BE45:BI45)=0,"",ROUND(AVERAGE(BE45:BI45),0)))</f>
        <v/>
      </c>
      <c r="BK45" s="140" t="str">
        <f aca="false">IF(R45="","",IF(R45="AD",3,IF(R45="A",2,IF(R45="B",1,IF(R45="C",0)))))</f>
        <v/>
      </c>
      <c r="BL45" s="140" t="str">
        <f aca="false">IF(S45="","",IF(S45="AD",3,IF(S45="A",2,IF(S45="B",1,IF(S45="C",0)))))</f>
        <v/>
      </c>
      <c r="BM45" s="140" t="str">
        <f aca="false">IF(T45="","",IF(T45="AD",3,IF(T45="A",2,IF(T45="B",1,IF(T45="C",0)))))</f>
        <v/>
      </c>
      <c r="BN45" s="140" t="str">
        <f aca="false">IF(U45="","",IF(U45="AD",3,IF(U45="A",2,IF(U45="B",1,IF(U45="C",0)))))</f>
        <v/>
      </c>
      <c r="BO45" s="141" t="str">
        <f aca="false">IF(B45="","",IF(COUNT(BK45:BN45)=0,"",ROUND(AVERAGE(BK45:BN45),0)))</f>
        <v/>
      </c>
      <c r="BP45" s="140" t="str">
        <f aca="false">IF(X45="","",IF(X45="AD",3,IF(X45="A",2,IF(X45="B",1,IF(X45="C",0)))))</f>
        <v/>
      </c>
      <c r="BQ45" s="140" t="str">
        <f aca="false">IF(Y45="","",IF(Y45="AD",3,IF(Y45="A",2,IF(Y45="B",1,IF(Y45="C",0)))))</f>
        <v/>
      </c>
      <c r="BR45" s="140" t="str">
        <f aca="false">IF(Z45="","",IF(Z45="AD",3,IF(Z45="A",2,IF(Z45="B",1,IF(Z45="C",0)))))</f>
        <v/>
      </c>
      <c r="BS45" s="140" t="str">
        <f aca="false">IF(AA45="","",IF(AA45="AD",3,IF(AA45="A",2,IF(AA45="B",1,IF(AA45="C",0)))))</f>
        <v/>
      </c>
      <c r="BT45" s="141" t="str">
        <f aca="false">IF(B45="","",IF(COUNT(BP45:BS45)=0,"",ROUND(AVERAGE(BP45:BS45),0)))</f>
        <v/>
      </c>
      <c r="BU45" s="142" t="str">
        <f aca="false">IF(ISERROR(AVERAGE(BD45,BJ45,BO45,BT45)),"",ROUND(AVERAGE(BD45,BJ45,BO45,BT45),0))</f>
        <v/>
      </c>
      <c r="BV45" s="140" t="str">
        <f aca="false">IF(AE45="","",IF(AE45="AD",3,IF(AE45="A",2,IF(AE45="B",1,IF(AE45="C",0)))))</f>
        <v/>
      </c>
      <c r="BW45" s="140" t="str">
        <f aca="false">IF(AF45="","",IF(AF45="AD",3,IF(AF45="A",2,IF(AF45="B",1,IF(AF45="C",0)))))</f>
        <v/>
      </c>
      <c r="BX45" s="140" t="str">
        <f aca="false">IF(AG45="","",IF(AG45="AD",3,IF(AG45="A",2,IF(AG45="B",1,IF(AG45="C",0)))))</f>
        <v/>
      </c>
      <c r="BY45" s="140" t="str">
        <f aca="false">IF(AH45="","",IF(AH45="AD",3,IF(AH45="A",2,IF(AH45="B",1,IF(AH45="C",0)))))</f>
        <v/>
      </c>
      <c r="BZ45" s="141" t="str">
        <f aca="false">IF(B45="","",IF(COUNT(BV45:BY45)=0,"",ROUND(AVERAGE(BV45:BY45),0)))</f>
        <v/>
      </c>
      <c r="CA45" s="140" t="str">
        <f aca="false">IF(AJ45="","",IF(AJ45="AD",3,IF(AJ45="A",2,IF(AJ45="B",1,IF(AJ45="C",0)))))</f>
        <v/>
      </c>
      <c r="CB45" s="140" t="str">
        <f aca="false">IF(AK45="","",IF(AK45="AD",3,IF(AK45="A",2,IF(AK45="B",1,IF(AK45="C",0)))))</f>
        <v/>
      </c>
      <c r="CC45" s="140" t="str">
        <f aca="false">IF(AL45="","",IF(AL45="AD",3,IF(AL45="A",2,IF(AL45="B",1,IF(AL45="C",0)))))</f>
        <v/>
      </c>
      <c r="CD45" s="141" t="str">
        <f aca="false">IF(B45="","",IF(COUNT(CA45:CC45)=0,"",ROUND(AVERAGE(CA45:CC45),0)))</f>
        <v/>
      </c>
    </row>
    <row r="46" customFormat="false" ht="12.75" hidden="false" customHeight="false" outlineLevel="0" collapsed="false">
      <c r="A46" s="130" t="n">
        <v>37</v>
      </c>
      <c r="B46" s="131" t="n">
        <f aca="false">'Datos '!D44</f>
        <v>0</v>
      </c>
      <c r="C46" s="132"/>
      <c r="D46" s="132"/>
      <c r="E46" s="132"/>
      <c r="F46" s="132"/>
      <c r="G46" s="132"/>
      <c r="H46" s="133"/>
      <c r="I46" s="134" t="str">
        <f aca="false">IF(BD46="","",IF(BD46=3,"AD",IF(BD46=2, "A",IF(BD46= 1, "B",IF(BD46= 0, "C")))))</f>
        <v/>
      </c>
      <c r="J46" s="135"/>
      <c r="K46" s="132"/>
      <c r="L46" s="132"/>
      <c r="M46" s="132"/>
      <c r="N46" s="132"/>
      <c r="O46" s="132"/>
      <c r="P46" s="134" t="str">
        <f aca="false">IF(BJ46="","",IF(BJ46=3,"AD",IF(BJ46=2, "A",IF(BJ46= 1, "B",IF(BJ46= 0, "C")))))</f>
        <v/>
      </c>
      <c r="Q46" s="135"/>
      <c r="R46" s="132"/>
      <c r="S46" s="132"/>
      <c r="T46" s="132"/>
      <c r="U46" s="132"/>
      <c r="V46" s="134" t="str">
        <f aca="false">IF(BO46="","",IF(BO46=3,"AD",IF(BO46=2, "A",IF(BO46= 1, "B",IF(BO46= 0, "C")))))</f>
        <v/>
      </c>
      <c r="W46" s="135"/>
      <c r="X46" s="132"/>
      <c r="Y46" s="132"/>
      <c r="Z46" s="132"/>
      <c r="AA46" s="132"/>
      <c r="AB46" s="134" t="str">
        <f aca="false">IF(BT46="","",IF(BT46=3,"AD",IF(BT46=2, "A",IF(BT46= 1, "B",IF(BT46= 0, "C")))))</f>
        <v/>
      </c>
      <c r="AC46" s="136"/>
      <c r="AD46" s="137" t="str">
        <f aca="false">IF(BU46="","",IF(BU46=3,"AD",IF(BU46=2, "A",IF(BU46= 1, "B",IF(BU46= 0, "C")))))</f>
        <v/>
      </c>
      <c r="AE46" s="132"/>
      <c r="AF46" s="132"/>
      <c r="AG46" s="132"/>
      <c r="AH46" s="132"/>
      <c r="AI46" s="138" t="str">
        <f aca="false">IF(BZ46="","",IF(BZ46=3,"AD",IF(BZ46=2, "A",IF(BZ46= 1, "B",IF(BZ46= 0, "C")))))</f>
        <v/>
      </c>
      <c r="AJ46" s="132"/>
      <c r="AK46" s="132"/>
      <c r="AL46" s="132"/>
      <c r="AM46" s="138" t="str">
        <f aca="false">IF(CD46="","",IF(CD46=3,"AD",IF(CD46=2, "A",IF(CD46= 1, "B",IF(CD46= 0, "C")))))</f>
        <v/>
      </c>
      <c r="AN46" s="139" t="str">
        <f aca="false">IF(AD46="","No presenta evidencias para su calificación",IF(AD46="AD","Demuestra aprendizaje que van más allá del nivel esperado",IF(AD46="A","Demuestra manejo satisfactorio en todas las tareas propuestas",IF(AD46="B","Está próximo al nivel esperado para lo cual requiere acompañamiento durante un tiempo razonable",IF(AD46= "C","No logro el desarrollo de las competencias",)))))</f>
        <v>No presenta evidencias para su calificación</v>
      </c>
      <c r="AO46" s="139"/>
      <c r="AP46" s="139"/>
      <c r="AQ46" s="139"/>
      <c r="AR46" s="139"/>
      <c r="AS46" s="139"/>
      <c r="AT46" s="139"/>
      <c r="AU46" s="139"/>
      <c r="AV46" s="139"/>
      <c r="AX46" s="140" t="str">
        <f aca="false">IF(C46="","",IF(C46="AD",3,IF(C46="A",2,IF(C46="B",1,IF(C46="C",0)))))</f>
        <v/>
      </c>
      <c r="AY46" s="140" t="str">
        <f aca="false">IF(D46="","",IF(D46="AD",3,IF(D46="A",2,IF(D46="B",1,IF(D46="C",0)))))</f>
        <v/>
      </c>
      <c r="AZ46" s="140" t="str">
        <f aca="false">IF(E46="","",IF(E46="AD",3,IF(E46="A",2,IF(E46="B",1,IF(E46="C",0)))))</f>
        <v/>
      </c>
      <c r="BA46" s="140" t="str">
        <f aca="false">IF(F46="","",IF(F46="AD",3,IF(F46="A",2,IF(F46="B",1,IF(F46="C",0)))))</f>
        <v/>
      </c>
      <c r="BB46" s="140" t="str">
        <f aca="false">IF(G46="","",IF(G46="AD",3,IF(G46="A",2,IF(G46="B",1,IF(G46="C",0)))))</f>
        <v/>
      </c>
      <c r="BC46" s="140" t="str">
        <f aca="false">IF(H46="","",IF(H46="AD",3,IF(H46="A",2,IF(H46="B",1,IF(H46="C",0)))))</f>
        <v/>
      </c>
      <c r="BD46" s="141" t="str">
        <f aca="false">IF(B46="","",IF(COUNT(AX46:BC46)=0,"",ROUND(AVERAGE(AX46:BC46),0)))</f>
        <v/>
      </c>
      <c r="BE46" s="140" t="str">
        <f aca="false">IF(K46="","",IF(K46="AD",3,IF(K46="A",2,IF(K46="B",1,IF(K46="C",0)))))</f>
        <v/>
      </c>
      <c r="BF46" s="140" t="str">
        <f aca="false">IF(L46="","",IF(L46="AD",3,IF(L46="A",2,IF(L46="B",1,IF(L46="C",0)))))</f>
        <v/>
      </c>
      <c r="BG46" s="140" t="str">
        <f aca="false">IF(M46="","",IF(M46="AD",3,IF(M46="A",2,IF(M46="B",1,IF(M46="C",0)))))</f>
        <v/>
      </c>
      <c r="BH46" s="140" t="str">
        <f aca="false">IF(N46="","",IF(N46="AD",3,IF(N46="A",2,IF(N46="B",1,IF(N46="C",0)))))</f>
        <v/>
      </c>
      <c r="BI46" s="140" t="str">
        <f aca="false">IF(O46="","",IF(O46="AD",3,IF(O46="A",2,IF(O46="B",1,IF(O46="C",0)))))</f>
        <v/>
      </c>
      <c r="BJ46" s="141" t="str">
        <f aca="false">IF(B46="","",IF(COUNT(BE46:BI46)=0,"",ROUND(AVERAGE(BE46:BI46),0)))</f>
        <v/>
      </c>
      <c r="BK46" s="140" t="str">
        <f aca="false">IF(R46="","",IF(R46="AD",3,IF(R46="A",2,IF(R46="B",1,IF(R46="C",0)))))</f>
        <v/>
      </c>
      <c r="BL46" s="140" t="str">
        <f aca="false">IF(S46="","",IF(S46="AD",3,IF(S46="A",2,IF(S46="B",1,IF(S46="C",0)))))</f>
        <v/>
      </c>
      <c r="BM46" s="140" t="str">
        <f aca="false">IF(T46="","",IF(T46="AD",3,IF(T46="A",2,IF(T46="B",1,IF(T46="C",0)))))</f>
        <v/>
      </c>
      <c r="BN46" s="140" t="str">
        <f aca="false">IF(U46="","",IF(U46="AD",3,IF(U46="A",2,IF(U46="B",1,IF(U46="C",0)))))</f>
        <v/>
      </c>
      <c r="BO46" s="141" t="str">
        <f aca="false">IF(B46="","",IF(COUNT(BK46:BN46)=0,"",ROUND(AVERAGE(BK46:BN46),0)))</f>
        <v/>
      </c>
      <c r="BP46" s="140" t="str">
        <f aca="false">IF(X46="","",IF(X46="AD",3,IF(X46="A",2,IF(X46="B",1,IF(X46="C",0)))))</f>
        <v/>
      </c>
      <c r="BQ46" s="140" t="str">
        <f aca="false">IF(Y46="","",IF(Y46="AD",3,IF(Y46="A",2,IF(Y46="B",1,IF(Y46="C",0)))))</f>
        <v/>
      </c>
      <c r="BR46" s="140" t="str">
        <f aca="false">IF(Z46="","",IF(Z46="AD",3,IF(Z46="A",2,IF(Z46="B",1,IF(Z46="C",0)))))</f>
        <v/>
      </c>
      <c r="BS46" s="140" t="str">
        <f aca="false">IF(AA46="","",IF(AA46="AD",3,IF(AA46="A",2,IF(AA46="B",1,IF(AA46="C",0)))))</f>
        <v/>
      </c>
      <c r="BT46" s="141" t="str">
        <f aca="false">IF(B46="","",IF(COUNT(BP46:BS46)=0,"",ROUND(AVERAGE(BP46:BS46),0)))</f>
        <v/>
      </c>
      <c r="BU46" s="142" t="str">
        <f aca="false">IF(ISERROR(AVERAGE(BD46,BJ46,BO46,BT46)),"",ROUND(AVERAGE(BD46,BJ46,BO46,BT46),0))</f>
        <v/>
      </c>
      <c r="BV46" s="140" t="str">
        <f aca="false">IF(AE46="","",IF(AE46="AD",3,IF(AE46="A",2,IF(AE46="B",1,IF(AE46="C",0)))))</f>
        <v/>
      </c>
      <c r="BW46" s="140" t="str">
        <f aca="false">IF(AF46="","",IF(AF46="AD",3,IF(AF46="A",2,IF(AF46="B",1,IF(AF46="C",0)))))</f>
        <v/>
      </c>
      <c r="BX46" s="140" t="str">
        <f aca="false">IF(AG46="","",IF(AG46="AD",3,IF(AG46="A",2,IF(AG46="B",1,IF(AG46="C",0)))))</f>
        <v/>
      </c>
      <c r="BY46" s="140" t="str">
        <f aca="false">IF(AH46="","",IF(AH46="AD",3,IF(AH46="A",2,IF(AH46="B",1,IF(AH46="C",0)))))</f>
        <v/>
      </c>
      <c r="BZ46" s="141" t="str">
        <f aca="false">IF(B46="","",IF(COUNT(BV46:BY46)=0,"",ROUND(AVERAGE(BV46:BY46),0)))</f>
        <v/>
      </c>
      <c r="CA46" s="140" t="str">
        <f aca="false">IF(AJ46="","",IF(AJ46="AD",3,IF(AJ46="A",2,IF(AJ46="B",1,IF(AJ46="C",0)))))</f>
        <v/>
      </c>
      <c r="CB46" s="140" t="str">
        <f aca="false">IF(AK46="","",IF(AK46="AD",3,IF(AK46="A",2,IF(AK46="B",1,IF(AK46="C",0)))))</f>
        <v/>
      </c>
      <c r="CC46" s="140" t="str">
        <f aca="false">IF(AL46="","",IF(AL46="AD",3,IF(AL46="A",2,IF(AL46="B",1,IF(AL46="C",0)))))</f>
        <v/>
      </c>
      <c r="CD46" s="141" t="str">
        <f aca="false">IF(B46="","",IF(COUNT(CA46:CC46)=0,"",ROUND(AVERAGE(CA46:CC46),0)))</f>
        <v/>
      </c>
    </row>
    <row r="47" customFormat="false" ht="12.75" hidden="false" customHeight="false" outlineLevel="0" collapsed="false">
      <c r="A47" s="130" t="n">
        <v>38</v>
      </c>
      <c r="B47" s="131" t="n">
        <f aca="false">'Datos '!D45</f>
        <v>0</v>
      </c>
      <c r="C47" s="132"/>
      <c r="D47" s="132"/>
      <c r="E47" s="132"/>
      <c r="F47" s="132"/>
      <c r="G47" s="132"/>
      <c r="H47" s="133"/>
      <c r="I47" s="134" t="str">
        <f aca="false">IF(BD47="","",IF(BD47=3,"AD",IF(BD47=2, "A",IF(BD47= 1, "B",IF(BD47= 0, "C")))))</f>
        <v/>
      </c>
      <c r="J47" s="135"/>
      <c r="K47" s="132"/>
      <c r="L47" s="132"/>
      <c r="M47" s="132"/>
      <c r="N47" s="132"/>
      <c r="O47" s="132"/>
      <c r="P47" s="134" t="str">
        <f aca="false">IF(BJ47="","",IF(BJ47=3,"AD",IF(BJ47=2, "A",IF(BJ47= 1, "B",IF(BJ47= 0, "C")))))</f>
        <v/>
      </c>
      <c r="Q47" s="135"/>
      <c r="R47" s="132"/>
      <c r="S47" s="132"/>
      <c r="T47" s="132"/>
      <c r="U47" s="132"/>
      <c r="V47" s="134" t="str">
        <f aca="false">IF(BO47="","",IF(BO47=3,"AD",IF(BO47=2, "A",IF(BO47= 1, "B",IF(BO47= 0, "C")))))</f>
        <v/>
      </c>
      <c r="W47" s="135"/>
      <c r="X47" s="132"/>
      <c r="Y47" s="132"/>
      <c r="Z47" s="132"/>
      <c r="AA47" s="132"/>
      <c r="AB47" s="134" t="str">
        <f aca="false">IF(BT47="","",IF(BT47=3,"AD",IF(BT47=2, "A",IF(BT47= 1, "B",IF(BT47= 0, "C")))))</f>
        <v/>
      </c>
      <c r="AC47" s="136"/>
      <c r="AD47" s="137" t="str">
        <f aca="false">IF(BU47="","",IF(BU47=3,"AD",IF(BU47=2, "A",IF(BU47= 1, "B",IF(BU47= 0, "C")))))</f>
        <v/>
      </c>
      <c r="AE47" s="132"/>
      <c r="AF47" s="132"/>
      <c r="AG47" s="132"/>
      <c r="AH47" s="132"/>
      <c r="AI47" s="138" t="str">
        <f aca="false">IF(BZ47="","",IF(BZ47=3,"AD",IF(BZ47=2, "A",IF(BZ47= 1, "B",IF(BZ47= 0, "C")))))</f>
        <v/>
      </c>
      <c r="AJ47" s="132"/>
      <c r="AK47" s="132"/>
      <c r="AL47" s="132"/>
      <c r="AM47" s="138" t="str">
        <f aca="false">IF(CD47="","",IF(CD47=3,"AD",IF(CD47=2, "A",IF(CD47= 1, "B",IF(CD47= 0, "C")))))</f>
        <v/>
      </c>
      <c r="AN47" s="139" t="str">
        <f aca="false">IF(AD47="","No presenta evidencias para su calificación",IF(AD47="AD","Demuestra aprendizaje que van más allá del nivel esperado",IF(AD47="A","Demuestra manejo satisfactorio en todas las tareas propuestas",IF(AD47="B","Está próximo al nivel esperado para lo cual requiere acompañamiento durante un tiempo razonable",IF(AD47= "C","No logro el desarrollo de las competencias",)))))</f>
        <v>No presenta evidencias para su calificación</v>
      </c>
      <c r="AO47" s="139"/>
      <c r="AP47" s="139"/>
      <c r="AQ47" s="139"/>
      <c r="AR47" s="139"/>
      <c r="AS47" s="139"/>
      <c r="AT47" s="139"/>
      <c r="AU47" s="139"/>
      <c r="AV47" s="139"/>
      <c r="AX47" s="140" t="str">
        <f aca="false">IF(C47="","",IF(C47="AD",3,IF(C47="A",2,IF(C47="B",1,IF(C47="C",0)))))</f>
        <v/>
      </c>
      <c r="AY47" s="140" t="str">
        <f aca="false">IF(D47="","",IF(D47="AD",3,IF(D47="A",2,IF(D47="B",1,IF(D47="C",0)))))</f>
        <v/>
      </c>
      <c r="AZ47" s="140" t="str">
        <f aca="false">IF(E47="","",IF(E47="AD",3,IF(E47="A",2,IF(E47="B",1,IF(E47="C",0)))))</f>
        <v/>
      </c>
      <c r="BA47" s="140" t="str">
        <f aca="false">IF(F47="","",IF(F47="AD",3,IF(F47="A",2,IF(F47="B",1,IF(F47="C",0)))))</f>
        <v/>
      </c>
      <c r="BB47" s="140" t="str">
        <f aca="false">IF(G47="","",IF(G47="AD",3,IF(G47="A",2,IF(G47="B",1,IF(G47="C",0)))))</f>
        <v/>
      </c>
      <c r="BC47" s="140" t="str">
        <f aca="false">IF(H47="","",IF(H47="AD",3,IF(H47="A",2,IF(H47="B",1,IF(H47="C",0)))))</f>
        <v/>
      </c>
      <c r="BD47" s="141" t="str">
        <f aca="false">IF(B47="","",IF(COUNT(AX47:BC47)=0,"",ROUND(AVERAGE(AX47:BC47),0)))</f>
        <v/>
      </c>
      <c r="BE47" s="140" t="str">
        <f aca="false">IF(K47="","",IF(K47="AD",3,IF(K47="A",2,IF(K47="B",1,IF(K47="C",0)))))</f>
        <v/>
      </c>
      <c r="BF47" s="140" t="str">
        <f aca="false">IF(L47="","",IF(L47="AD",3,IF(L47="A",2,IF(L47="B",1,IF(L47="C",0)))))</f>
        <v/>
      </c>
      <c r="BG47" s="140" t="str">
        <f aca="false">IF(M47="","",IF(M47="AD",3,IF(M47="A",2,IF(M47="B",1,IF(M47="C",0)))))</f>
        <v/>
      </c>
      <c r="BH47" s="140" t="str">
        <f aca="false">IF(N47="","",IF(N47="AD",3,IF(N47="A",2,IF(N47="B",1,IF(N47="C",0)))))</f>
        <v/>
      </c>
      <c r="BI47" s="140" t="str">
        <f aca="false">IF(O47="","",IF(O47="AD",3,IF(O47="A",2,IF(O47="B",1,IF(O47="C",0)))))</f>
        <v/>
      </c>
      <c r="BJ47" s="141" t="str">
        <f aca="false">IF(B47="","",IF(COUNT(BE47:BI47)=0,"",ROUND(AVERAGE(BE47:BI47),0)))</f>
        <v/>
      </c>
      <c r="BK47" s="140" t="str">
        <f aca="false">IF(R47="","",IF(R47="AD",3,IF(R47="A",2,IF(R47="B",1,IF(R47="C",0)))))</f>
        <v/>
      </c>
      <c r="BL47" s="140" t="str">
        <f aca="false">IF(S47="","",IF(S47="AD",3,IF(S47="A",2,IF(S47="B",1,IF(S47="C",0)))))</f>
        <v/>
      </c>
      <c r="BM47" s="140" t="str">
        <f aca="false">IF(T47="","",IF(T47="AD",3,IF(T47="A",2,IF(T47="B",1,IF(T47="C",0)))))</f>
        <v/>
      </c>
      <c r="BN47" s="140" t="str">
        <f aca="false">IF(U47="","",IF(U47="AD",3,IF(U47="A",2,IF(U47="B",1,IF(U47="C",0)))))</f>
        <v/>
      </c>
      <c r="BO47" s="141" t="str">
        <f aca="false">IF(B47="","",IF(COUNT(BK47:BN47)=0,"",ROUND(AVERAGE(BK47:BN47),0)))</f>
        <v/>
      </c>
      <c r="BP47" s="140" t="str">
        <f aca="false">IF(X47="","",IF(X47="AD",3,IF(X47="A",2,IF(X47="B",1,IF(X47="C",0)))))</f>
        <v/>
      </c>
      <c r="BQ47" s="140" t="str">
        <f aca="false">IF(Y47="","",IF(Y47="AD",3,IF(Y47="A",2,IF(Y47="B",1,IF(Y47="C",0)))))</f>
        <v/>
      </c>
      <c r="BR47" s="140" t="str">
        <f aca="false">IF(Z47="","",IF(Z47="AD",3,IF(Z47="A",2,IF(Z47="B",1,IF(Z47="C",0)))))</f>
        <v/>
      </c>
      <c r="BS47" s="140" t="str">
        <f aca="false">IF(AA47="","",IF(AA47="AD",3,IF(AA47="A",2,IF(AA47="B",1,IF(AA47="C",0)))))</f>
        <v/>
      </c>
      <c r="BT47" s="141" t="str">
        <f aca="false">IF(B47="","",IF(COUNT(BP47:BS47)=0,"",ROUND(AVERAGE(BP47:BS47),0)))</f>
        <v/>
      </c>
      <c r="BU47" s="142" t="str">
        <f aca="false">IF(ISERROR(AVERAGE(BD47,BJ47,BO47,BT47)),"",ROUND(AVERAGE(BD47,BJ47,BO47,BT47),0))</f>
        <v/>
      </c>
      <c r="BV47" s="140" t="str">
        <f aca="false">IF(AE47="","",IF(AE47="AD",3,IF(AE47="A",2,IF(AE47="B",1,IF(AE47="C",0)))))</f>
        <v/>
      </c>
      <c r="BW47" s="140" t="str">
        <f aca="false">IF(AF47="","",IF(AF47="AD",3,IF(AF47="A",2,IF(AF47="B",1,IF(AF47="C",0)))))</f>
        <v/>
      </c>
      <c r="BX47" s="140" t="str">
        <f aca="false">IF(AG47="","",IF(AG47="AD",3,IF(AG47="A",2,IF(AG47="B",1,IF(AG47="C",0)))))</f>
        <v/>
      </c>
      <c r="BY47" s="140" t="str">
        <f aca="false">IF(AH47="","",IF(AH47="AD",3,IF(AH47="A",2,IF(AH47="B",1,IF(AH47="C",0)))))</f>
        <v/>
      </c>
      <c r="BZ47" s="141" t="str">
        <f aca="false">IF(B47="","",IF(COUNT(BV47:BY47)=0,"",ROUND(AVERAGE(BV47:BY47),0)))</f>
        <v/>
      </c>
      <c r="CA47" s="140" t="str">
        <f aca="false">IF(AJ47="","",IF(AJ47="AD",3,IF(AJ47="A",2,IF(AJ47="B",1,IF(AJ47="C",0)))))</f>
        <v/>
      </c>
      <c r="CB47" s="140" t="str">
        <f aca="false">IF(AK47="","",IF(AK47="AD",3,IF(AK47="A",2,IF(AK47="B",1,IF(AK47="C",0)))))</f>
        <v/>
      </c>
      <c r="CC47" s="140" t="str">
        <f aca="false">IF(AL47="","",IF(AL47="AD",3,IF(AL47="A",2,IF(AL47="B",1,IF(AL47="C",0)))))</f>
        <v/>
      </c>
      <c r="CD47" s="141" t="str">
        <f aca="false">IF(B47="","",IF(COUNT(CA47:CC47)=0,"",ROUND(AVERAGE(CA47:CC47),0)))</f>
        <v/>
      </c>
    </row>
    <row r="48" customFormat="false" ht="12.75" hidden="false" customHeight="false" outlineLevel="0" collapsed="false">
      <c r="A48" s="149"/>
      <c r="B48" s="150"/>
      <c r="C48" s="151"/>
      <c r="D48" s="151"/>
      <c r="E48" s="151"/>
      <c r="F48" s="151"/>
      <c r="G48" s="151"/>
      <c r="H48" s="151"/>
      <c r="I48" s="152"/>
      <c r="J48" s="152"/>
      <c r="K48" s="151"/>
      <c r="L48" s="151"/>
      <c r="M48" s="151"/>
      <c r="N48" s="151"/>
      <c r="O48" s="151"/>
      <c r="P48" s="152"/>
      <c r="Q48" s="152"/>
      <c r="R48" s="151"/>
      <c r="S48" s="151"/>
      <c r="T48" s="151"/>
      <c r="U48" s="151"/>
      <c r="V48" s="152"/>
      <c r="W48" s="152"/>
      <c r="X48" s="151"/>
      <c r="Y48" s="151"/>
      <c r="Z48" s="151"/>
      <c r="AA48" s="151"/>
      <c r="AB48" s="152"/>
      <c r="AC48" s="152"/>
      <c r="AD48" s="152"/>
      <c r="AE48" s="152"/>
      <c r="AF48" s="153"/>
      <c r="AG48" s="153"/>
      <c r="AH48" s="153"/>
      <c r="AI48" s="153"/>
      <c r="AJ48" s="153"/>
      <c r="AK48" s="153"/>
    </row>
    <row r="49" customFormat="false" ht="19.7" hidden="false" customHeight="false" outlineLevel="0" collapsed="false">
      <c r="B49" s="152"/>
      <c r="C49" s="151"/>
      <c r="D49" s="151"/>
      <c r="E49" s="151"/>
      <c r="F49" s="151"/>
      <c r="G49" s="154" t="s">
        <v>169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3"/>
      <c r="W49" s="153"/>
      <c r="AI49" s="154" t="s">
        <v>171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</row>
    <row r="50" customFormat="false" ht="12.75" hidden="false" customHeight="false" outlineLevel="0" collapsed="false">
      <c r="B50" s="152"/>
      <c r="C50" s="151"/>
      <c r="D50" s="151"/>
      <c r="E50" s="151"/>
      <c r="F50" s="151"/>
      <c r="G50" s="151"/>
      <c r="H50" s="152"/>
      <c r="I50" s="151"/>
      <c r="J50" s="151"/>
      <c r="K50" s="151"/>
      <c r="L50" s="151"/>
      <c r="M50" s="151"/>
      <c r="N50" s="152"/>
      <c r="O50" s="151"/>
      <c r="P50" s="151"/>
      <c r="Q50" s="151"/>
      <c r="R50" s="151"/>
      <c r="S50" s="151"/>
      <c r="T50" s="152"/>
      <c r="U50" s="152"/>
      <c r="V50" s="153"/>
      <c r="W50" s="153"/>
      <c r="X50" s="152"/>
      <c r="AE50" s="151"/>
      <c r="AF50" s="151"/>
      <c r="AG50" s="151"/>
      <c r="AH50" s="151"/>
      <c r="AI50" s="151"/>
      <c r="AJ50" s="152"/>
      <c r="AK50" s="151"/>
      <c r="AL50" s="151"/>
      <c r="AM50" s="151"/>
      <c r="AN50" s="151"/>
      <c r="AO50" s="152"/>
      <c r="AP50" s="151"/>
      <c r="AQ50" s="151"/>
      <c r="AR50" s="151"/>
      <c r="AS50" s="151"/>
      <c r="AT50" s="152"/>
      <c r="AU50" s="152"/>
      <c r="AV50" s="153"/>
    </row>
    <row r="51" customFormat="false" ht="12.75" hidden="false" customHeight="false" outlineLevel="0" collapsed="false">
      <c r="B51" s="155"/>
      <c r="C51" s="155"/>
      <c r="D51" s="156"/>
      <c r="E51" s="157"/>
      <c r="F51" s="157"/>
      <c r="G51" s="158" t="s">
        <v>206</v>
      </c>
      <c r="H51" s="159" t="s">
        <v>207</v>
      </c>
      <c r="I51" s="159"/>
      <c r="J51" s="159"/>
      <c r="K51" s="159"/>
      <c r="L51" s="149"/>
      <c r="M51" s="160" t="s">
        <v>208</v>
      </c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162"/>
      <c r="AE51" s="162"/>
      <c r="AF51" s="156"/>
      <c r="AG51" s="157"/>
      <c r="AH51" s="157"/>
      <c r="AI51" s="158" t="s">
        <v>206</v>
      </c>
      <c r="AJ51" s="159" t="s">
        <v>207</v>
      </c>
      <c r="AK51" s="159"/>
      <c r="AL51" s="159"/>
      <c r="AM51" s="149"/>
      <c r="AN51" s="160" t="s">
        <v>208</v>
      </c>
      <c r="AO51" s="160"/>
      <c r="AP51" s="160"/>
      <c r="AQ51" s="160"/>
      <c r="AR51" s="160"/>
      <c r="AS51" s="160"/>
      <c r="AT51" s="160"/>
      <c r="AU51" s="160"/>
      <c r="AV51" s="160"/>
    </row>
    <row r="52" customFormat="false" ht="12.75" hidden="false" customHeight="false" outlineLevel="0" collapsed="false">
      <c r="B52" s="153"/>
      <c r="C52" s="163" t="s">
        <v>209</v>
      </c>
      <c r="D52" s="163"/>
      <c r="E52" s="163"/>
      <c r="F52" s="163"/>
      <c r="G52" s="164" t="str">
        <f aca="false">IF(COUNTA(B10:B47)-COUNT(B10:B47)=0,"",COUNTA(B10:B47)-COUNT(B10:B47))</f>
        <v/>
      </c>
      <c r="H52" s="165" t="str">
        <f aca="false">IF(G52="","",G52/G$52)</f>
        <v/>
      </c>
      <c r="I52" s="165"/>
      <c r="J52" s="165"/>
      <c r="K52" s="165"/>
      <c r="L52" s="149"/>
      <c r="M52" s="160" t="s">
        <v>210</v>
      </c>
      <c r="N52" s="160"/>
      <c r="O52" s="160"/>
      <c r="P52" s="160" t="s">
        <v>206</v>
      </c>
      <c r="Q52" s="160"/>
      <c r="R52" s="160"/>
      <c r="S52" s="160"/>
      <c r="T52" s="166" t="s">
        <v>207</v>
      </c>
      <c r="U52" s="166"/>
      <c r="V52" s="166"/>
      <c r="W52" s="167"/>
      <c r="X52" s="153"/>
      <c r="AE52" s="163" t="s">
        <v>209</v>
      </c>
      <c r="AF52" s="163"/>
      <c r="AG52" s="163"/>
      <c r="AH52" s="163"/>
      <c r="AI52" s="164" t="str">
        <f aca="false">IF(COUNTA(B10:B47)-COUNT(B10:B47)=0,"",COUNTA(B10:B47)-COUNT(B10:B47))</f>
        <v/>
      </c>
      <c r="AJ52" s="165" t="str">
        <f aca="false">IF(AI52="","",AI52/AI$52)</f>
        <v/>
      </c>
      <c r="AK52" s="165"/>
      <c r="AL52" s="165"/>
      <c r="AM52" s="149"/>
      <c r="AN52" s="160" t="s">
        <v>210</v>
      </c>
      <c r="AO52" s="160"/>
      <c r="AP52" s="160"/>
      <c r="AQ52" s="160" t="s">
        <v>206</v>
      </c>
      <c r="AR52" s="160"/>
      <c r="AS52" s="160"/>
      <c r="AT52" s="166" t="s">
        <v>207</v>
      </c>
      <c r="AU52" s="166"/>
      <c r="AV52" s="166"/>
    </row>
    <row r="53" customFormat="false" ht="12.75" hidden="false" customHeight="false" outlineLevel="0" collapsed="false">
      <c r="B53" s="153"/>
      <c r="C53" s="163" t="s">
        <v>211</v>
      </c>
      <c r="D53" s="163"/>
      <c r="E53" s="163"/>
      <c r="F53" s="163"/>
      <c r="G53" s="164" t="str">
        <f aca="false">IF(COUNT(BD10:BD47)=0,"",G52-G54)</f>
        <v/>
      </c>
      <c r="H53" s="165" t="str">
        <f aca="false">IF(G53="","",G53/G$52)</f>
        <v/>
      </c>
      <c r="I53" s="165"/>
      <c r="J53" s="165"/>
      <c r="K53" s="165"/>
      <c r="L53" s="149"/>
      <c r="M53" s="168" t="s">
        <v>146</v>
      </c>
      <c r="N53" s="168"/>
      <c r="O53" s="168"/>
      <c r="P53" s="169" t="str">
        <f aca="false">IF(COUNT(BD10:BD47)=0,"",COUNTIF(BD10:BD47,"&gt;=3"))</f>
        <v/>
      </c>
      <c r="Q53" s="169"/>
      <c r="R53" s="169"/>
      <c r="S53" s="169"/>
      <c r="T53" s="165" t="str">
        <f aca="false">IF(P53="","",P53/G54)</f>
        <v/>
      </c>
      <c r="U53" s="165"/>
      <c r="V53" s="165"/>
      <c r="W53" s="170"/>
      <c r="X53" s="153"/>
      <c r="AE53" s="163" t="s">
        <v>211</v>
      </c>
      <c r="AF53" s="163"/>
      <c r="AG53" s="163"/>
      <c r="AH53" s="163"/>
      <c r="AI53" s="169" t="str">
        <f aca="false">IF(COUNT(BO10:BO47)=0,"",AI52-AI54)</f>
        <v/>
      </c>
      <c r="AJ53" s="165" t="str">
        <f aca="false">IF(AI53="","",AI53/G$52)</f>
        <v/>
      </c>
      <c r="AK53" s="165"/>
      <c r="AL53" s="165"/>
      <c r="AM53" s="149"/>
      <c r="AN53" s="168" t="s">
        <v>146</v>
      </c>
      <c r="AO53" s="168"/>
      <c r="AP53" s="168"/>
      <c r="AQ53" s="169" t="str">
        <f aca="false">IF(COUNT(BO8:BO47)=0,"",COUNTIF(BO8:BO47,"&gt;=3"))</f>
        <v/>
      </c>
      <c r="AR53" s="169"/>
      <c r="AS53" s="169"/>
      <c r="AT53" s="165" t="str">
        <f aca="false">IF(AQ53="","",AQ53/AI54)</f>
        <v/>
      </c>
      <c r="AU53" s="165"/>
      <c r="AV53" s="165"/>
    </row>
    <row r="54" customFormat="false" ht="12.75" hidden="false" customHeight="false" outlineLevel="0" collapsed="false">
      <c r="B54" s="153"/>
      <c r="C54" s="163" t="s">
        <v>212</v>
      </c>
      <c r="D54" s="163"/>
      <c r="E54" s="163"/>
      <c r="F54" s="163"/>
      <c r="G54" s="164" t="str">
        <f aca="false">IF(COUNT(BD10:BD47)=0,"",G56+G57)</f>
        <v/>
      </c>
      <c r="H54" s="165" t="str">
        <f aca="false">IF(G54="","",G54/G$52)</f>
        <v/>
      </c>
      <c r="I54" s="165"/>
      <c r="J54" s="165"/>
      <c r="K54" s="165"/>
      <c r="L54" s="149"/>
      <c r="M54" s="171" t="s">
        <v>147</v>
      </c>
      <c r="N54" s="171"/>
      <c r="O54" s="171"/>
      <c r="P54" s="169" t="str">
        <f aca="false">IF(COUNT(BD10:BD47)=0,"",COUNTIF(BD10:BD47,"=2"))</f>
        <v/>
      </c>
      <c r="Q54" s="169"/>
      <c r="R54" s="169"/>
      <c r="S54" s="169"/>
      <c r="T54" s="165" t="str">
        <f aca="false">IF(P54="","",P54/G54)</f>
        <v/>
      </c>
      <c r="U54" s="165"/>
      <c r="V54" s="165"/>
      <c r="W54" s="170"/>
      <c r="X54" s="153"/>
      <c r="AE54" s="163" t="s">
        <v>212</v>
      </c>
      <c r="AF54" s="163"/>
      <c r="AG54" s="163"/>
      <c r="AH54" s="163"/>
      <c r="AI54" s="169" t="str">
        <f aca="false">IF(COUNT(BO10:BO47)=0,"",AI56+AI57)</f>
        <v/>
      </c>
      <c r="AJ54" s="165" t="str">
        <f aca="false">IF(AI54="","",AI54/G$52)</f>
        <v/>
      </c>
      <c r="AK54" s="165"/>
      <c r="AL54" s="165"/>
      <c r="AM54" s="149"/>
      <c r="AN54" s="171" t="s">
        <v>147</v>
      </c>
      <c r="AO54" s="171"/>
      <c r="AP54" s="171"/>
      <c r="AQ54" s="169" t="str">
        <f aca="false">IF(COUNT(BO8:BO47)=0,"",COUNTIF(BO8:BO47,"=2"))</f>
        <v/>
      </c>
      <c r="AR54" s="169"/>
      <c r="AS54" s="169"/>
      <c r="AT54" s="165" t="str">
        <f aca="false">IF(AQ54="","",AQ54/AI54)</f>
        <v/>
      </c>
      <c r="AU54" s="165"/>
      <c r="AV54" s="165"/>
    </row>
    <row r="55" customFormat="false" ht="12.75" hidden="false" customHeight="false" outlineLevel="0" collapsed="false">
      <c r="B55" s="153"/>
      <c r="L55" s="149"/>
      <c r="M55" s="172" t="s">
        <v>148</v>
      </c>
      <c r="N55" s="172"/>
      <c r="O55" s="172"/>
      <c r="P55" s="169" t="str">
        <f aca="false">IF(COUNT(BD10:BD47)=0,"",COUNTIF(BD10:BD47,"=1"))</f>
        <v/>
      </c>
      <c r="Q55" s="169"/>
      <c r="R55" s="169"/>
      <c r="S55" s="169"/>
      <c r="T55" s="165" t="str">
        <f aca="false">IF(P55="","",P55/G54)</f>
        <v/>
      </c>
      <c r="U55" s="165"/>
      <c r="V55" s="165"/>
      <c r="W55" s="170"/>
      <c r="X55" s="153"/>
      <c r="AM55" s="149"/>
      <c r="AN55" s="172" t="s">
        <v>148</v>
      </c>
      <c r="AO55" s="172"/>
      <c r="AP55" s="172"/>
      <c r="AQ55" s="169" t="str">
        <f aca="false">IF(COUNT(BO8:BO47)=0,"",COUNTIF(BO8:BO47,"=1"))</f>
        <v/>
      </c>
      <c r="AR55" s="169"/>
      <c r="AS55" s="169"/>
      <c r="AT55" s="165" t="str">
        <f aca="false">IF(AQ55="","",AQ55/AI54)</f>
        <v/>
      </c>
      <c r="AU55" s="165"/>
      <c r="AV55" s="165"/>
    </row>
    <row r="56" customFormat="false" ht="12.75" hidden="false" customHeight="false" outlineLevel="0" collapsed="false">
      <c r="B56" s="153"/>
      <c r="C56" s="163" t="s">
        <v>213</v>
      </c>
      <c r="D56" s="163"/>
      <c r="E56" s="163"/>
      <c r="F56" s="163"/>
      <c r="G56" s="169" t="str">
        <f aca="false">IF(COUNT(BD10:BD47)=0,"",COUNTIF(BD10:BD47,"&gt;= 2"))</f>
        <v/>
      </c>
      <c r="H56" s="165" t="str">
        <f aca="false">IF(G56="","",G56/G$54)</f>
        <v/>
      </c>
      <c r="I56" s="165"/>
      <c r="J56" s="165"/>
      <c r="K56" s="165"/>
      <c r="L56" s="149"/>
      <c r="M56" s="171" t="s">
        <v>149</v>
      </c>
      <c r="N56" s="171"/>
      <c r="O56" s="171"/>
      <c r="P56" s="169" t="str">
        <f aca="false">IF(COUNT(BD10:BD47)=0,"",COUNTIF(BD10:BD47,"=0"))</f>
        <v/>
      </c>
      <c r="Q56" s="169"/>
      <c r="R56" s="169"/>
      <c r="S56" s="169"/>
      <c r="T56" s="165" t="str">
        <f aca="false">IF(P56="","",P56/G54)</f>
        <v/>
      </c>
      <c r="U56" s="165"/>
      <c r="V56" s="165"/>
      <c r="W56" s="170"/>
      <c r="X56" s="153"/>
      <c r="AE56" s="163" t="s">
        <v>213</v>
      </c>
      <c r="AF56" s="163"/>
      <c r="AG56" s="163"/>
      <c r="AH56" s="163"/>
      <c r="AI56" s="169" t="str">
        <f aca="false">IF(COUNT(BO10:BO47)=0,"",COUNTIF(BO10:BO47,"&gt;= 2"))</f>
        <v/>
      </c>
      <c r="AJ56" s="165" t="str">
        <f aca="false">IF(AI56="","",AI56/AI$54)</f>
        <v/>
      </c>
      <c r="AK56" s="165"/>
      <c r="AL56" s="165"/>
      <c r="AM56" s="149"/>
      <c r="AN56" s="171" t="s">
        <v>149</v>
      </c>
      <c r="AO56" s="171"/>
      <c r="AP56" s="171"/>
      <c r="AQ56" s="169" t="str">
        <f aca="false">IF(COUNT(BO8:BO47)=0,"",COUNTIF(BO8:BO47,"=0"))</f>
        <v/>
      </c>
      <c r="AR56" s="169"/>
      <c r="AS56" s="169"/>
      <c r="AT56" s="165" t="str">
        <f aca="false">IF(AQ56="","",AQ56/AI54)</f>
        <v/>
      </c>
      <c r="AU56" s="165"/>
      <c r="AV56" s="165"/>
    </row>
    <row r="57" customFormat="false" ht="12.75" hidden="false" customHeight="false" outlineLevel="0" collapsed="false">
      <c r="C57" s="173" t="s">
        <v>214</v>
      </c>
      <c r="D57" s="173"/>
      <c r="E57" s="173"/>
      <c r="F57" s="173"/>
      <c r="G57" s="169" t="str">
        <f aca="false">IF(COUNT(BD10:BD47)=0,"",COUNTIF(BD10:BD47,"&lt;= 1") )</f>
        <v/>
      </c>
      <c r="H57" s="165" t="str">
        <f aca="false">IF(G57="","",G57/G$54)</f>
        <v/>
      </c>
      <c r="I57" s="165"/>
      <c r="J57" s="165"/>
      <c r="K57" s="165"/>
      <c r="M57" s="174" t="s">
        <v>215</v>
      </c>
      <c r="N57" s="174"/>
      <c r="O57" s="174"/>
      <c r="P57" s="175" t="n">
        <f aca="false">SUM(P53:S56)</f>
        <v>0</v>
      </c>
      <c r="Q57" s="175"/>
      <c r="R57" s="175"/>
      <c r="S57" s="175"/>
      <c r="T57" s="176" t="n">
        <f aca="false">SUM(T53:V56)</f>
        <v>0</v>
      </c>
      <c r="U57" s="176"/>
      <c r="V57" s="176"/>
      <c r="W57" s="177"/>
      <c r="AE57" s="173" t="s">
        <v>214</v>
      </c>
      <c r="AF57" s="173"/>
      <c r="AG57" s="173"/>
      <c r="AH57" s="173"/>
      <c r="AI57" s="169" t="str">
        <f aca="false">IF(COUNT(BO10:BO47)=0,"",COUNTIF(BO10:BO47,"&lt;= 1") )</f>
        <v/>
      </c>
      <c r="AJ57" s="165" t="str">
        <f aca="false">IF(AI57="","",AI57/AI$54)</f>
        <v/>
      </c>
      <c r="AK57" s="165"/>
      <c r="AL57" s="165"/>
      <c r="AN57" s="174" t="s">
        <v>215</v>
      </c>
      <c r="AO57" s="174"/>
      <c r="AP57" s="174"/>
      <c r="AQ57" s="175" t="n">
        <f aca="false">SUM(AQ53:AS56)</f>
        <v>0</v>
      </c>
      <c r="AR57" s="175"/>
      <c r="AS57" s="175"/>
      <c r="AT57" s="176" t="n">
        <f aca="false">SUM(AT53:AV56)</f>
        <v>0</v>
      </c>
      <c r="AU57" s="176"/>
      <c r="AV57" s="176"/>
    </row>
    <row r="59" customFormat="false" ht="19.7" hidden="false" customHeight="false" outlineLevel="0" collapsed="false">
      <c r="G59" s="154" t="s">
        <v>170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AI59" s="154" t="s">
        <v>172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</row>
    <row r="60" customFormat="false" ht="12.75" hidden="false" customHeight="false" outlineLevel="0" collapsed="false">
      <c r="B60" s="152"/>
      <c r="C60" s="151"/>
      <c r="D60" s="151"/>
      <c r="E60" s="151"/>
      <c r="F60" s="151"/>
      <c r="G60" s="151"/>
      <c r="H60" s="152"/>
      <c r="I60" s="151"/>
      <c r="J60" s="151"/>
      <c r="K60" s="151"/>
      <c r="L60" s="151"/>
      <c r="M60" s="151"/>
      <c r="N60" s="152"/>
      <c r="O60" s="151"/>
      <c r="P60" s="151"/>
      <c r="Q60" s="151"/>
      <c r="R60" s="151"/>
      <c r="S60" s="151"/>
      <c r="T60" s="152"/>
      <c r="U60" s="152"/>
      <c r="V60" s="153"/>
      <c r="W60" s="153"/>
      <c r="X60" s="152"/>
      <c r="AE60" s="151"/>
      <c r="AF60" s="151"/>
      <c r="AG60" s="151"/>
      <c r="AH60" s="151"/>
      <c r="AI60" s="151"/>
      <c r="AJ60" s="152"/>
      <c r="AK60" s="151"/>
      <c r="AL60" s="151"/>
      <c r="AM60" s="151"/>
      <c r="AN60" s="151"/>
      <c r="AO60" s="152"/>
      <c r="AP60" s="151"/>
      <c r="AQ60" s="151"/>
      <c r="AR60" s="151"/>
      <c r="AS60" s="151"/>
      <c r="AT60" s="152"/>
      <c r="AU60" s="152"/>
      <c r="AV60" s="153"/>
    </row>
    <row r="61" customFormat="false" ht="12.75" hidden="false" customHeight="false" outlineLevel="0" collapsed="false">
      <c r="B61" s="155"/>
      <c r="C61" s="155"/>
      <c r="D61" s="156"/>
      <c r="E61" s="157"/>
      <c r="F61" s="157"/>
      <c r="G61" s="158" t="s">
        <v>206</v>
      </c>
      <c r="H61" s="159" t="s">
        <v>207</v>
      </c>
      <c r="I61" s="159"/>
      <c r="J61" s="159"/>
      <c r="K61" s="159"/>
      <c r="L61" s="149"/>
      <c r="M61" s="160" t="s">
        <v>208</v>
      </c>
      <c r="N61" s="160"/>
      <c r="O61" s="160"/>
      <c r="P61" s="160"/>
      <c r="Q61" s="160"/>
      <c r="R61" s="160"/>
      <c r="S61" s="160"/>
      <c r="T61" s="160"/>
      <c r="U61" s="160"/>
      <c r="V61" s="160"/>
      <c r="W61" s="161"/>
      <c r="X61" s="162"/>
      <c r="AE61" s="162"/>
      <c r="AF61" s="156"/>
      <c r="AG61" s="157"/>
      <c r="AH61" s="157"/>
      <c r="AI61" s="158" t="s">
        <v>206</v>
      </c>
      <c r="AJ61" s="159" t="s">
        <v>207</v>
      </c>
      <c r="AK61" s="159"/>
      <c r="AL61" s="159"/>
      <c r="AM61" s="149"/>
      <c r="AN61" s="160" t="s">
        <v>208</v>
      </c>
      <c r="AO61" s="160"/>
      <c r="AP61" s="160"/>
      <c r="AQ61" s="160"/>
      <c r="AR61" s="160"/>
      <c r="AS61" s="160"/>
      <c r="AT61" s="160"/>
      <c r="AU61" s="160"/>
      <c r="AV61" s="160"/>
    </row>
    <row r="62" customFormat="false" ht="12.75" hidden="false" customHeight="false" outlineLevel="0" collapsed="false">
      <c r="B62" s="153"/>
      <c r="C62" s="163" t="s">
        <v>209</v>
      </c>
      <c r="D62" s="163"/>
      <c r="E62" s="163"/>
      <c r="F62" s="163"/>
      <c r="G62" s="164" t="str">
        <f aca="false">IF(COUNTA(B10:B47)-COUNT(B10:B47)=0,"",COUNTA(B10:B47)-COUNT(B10:B47))</f>
        <v/>
      </c>
      <c r="H62" s="165" t="str">
        <f aca="false">IF(G62="","",G62/G$62)</f>
        <v/>
      </c>
      <c r="I62" s="165"/>
      <c r="J62" s="165"/>
      <c r="K62" s="165"/>
      <c r="L62" s="149"/>
      <c r="M62" s="160" t="s">
        <v>210</v>
      </c>
      <c r="N62" s="160"/>
      <c r="O62" s="160"/>
      <c r="P62" s="160" t="s">
        <v>206</v>
      </c>
      <c r="Q62" s="160"/>
      <c r="R62" s="160"/>
      <c r="S62" s="160"/>
      <c r="T62" s="166" t="s">
        <v>207</v>
      </c>
      <c r="U62" s="166"/>
      <c r="V62" s="166"/>
      <c r="W62" s="167"/>
      <c r="X62" s="153"/>
      <c r="AE62" s="163" t="s">
        <v>209</v>
      </c>
      <c r="AF62" s="163"/>
      <c r="AG62" s="163"/>
      <c r="AH62" s="163"/>
      <c r="AI62" s="164" t="str">
        <f aca="false">IF(COUNTA(B10:B47)-COUNT(B10:B47)=0,"",COUNTA(B10:B47)-COUNT(B10:B47))</f>
        <v/>
      </c>
      <c r="AJ62" s="165" t="str">
        <f aca="false">IF(AI62="","",AI62/AI$62)</f>
        <v/>
      </c>
      <c r="AK62" s="165"/>
      <c r="AL62" s="165"/>
      <c r="AM62" s="149"/>
      <c r="AN62" s="160" t="s">
        <v>210</v>
      </c>
      <c r="AO62" s="160"/>
      <c r="AP62" s="160"/>
      <c r="AQ62" s="160" t="s">
        <v>206</v>
      </c>
      <c r="AR62" s="160"/>
      <c r="AS62" s="160"/>
      <c r="AT62" s="166" t="s">
        <v>207</v>
      </c>
      <c r="AU62" s="166"/>
      <c r="AV62" s="166"/>
    </row>
    <row r="63" customFormat="false" ht="12.75" hidden="false" customHeight="false" outlineLevel="0" collapsed="false">
      <c r="B63" s="153"/>
      <c r="C63" s="163" t="s">
        <v>211</v>
      </c>
      <c r="D63" s="163"/>
      <c r="E63" s="163"/>
      <c r="F63" s="163"/>
      <c r="G63" s="169" t="str">
        <f aca="false">IF(COUNT(BJ10:BJ47)=0,"",G62-G64)</f>
        <v/>
      </c>
      <c r="H63" s="165" t="str">
        <f aca="false">IF(G63="","",G63/G$62)</f>
        <v/>
      </c>
      <c r="I63" s="165"/>
      <c r="J63" s="165"/>
      <c r="K63" s="165"/>
      <c r="L63" s="149"/>
      <c r="M63" s="168" t="s">
        <v>146</v>
      </c>
      <c r="N63" s="168"/>
      <c r="O63" s="168"/>
      <c r="P63" s="169" t="str">
        <f aca="false">IF(COUNT(BJ9:BJ47)=0,"",COUNTIF(BJ9:BJ47,"&gt;=3"))</f>
        <v/>
      </c>
      <c r="Q63" s="169"/>
      <c r="R63" s="169"/>
      <c r="S63" s="169"/>
      <c r="T63" s="165" t="str">
        <f aca="false">IF(P63="","",P63/G64)</f>
        <v/>
      </c>
      <c r="U63" s="165"/>
      <c r="V63" s="165"/>
      <c r="W63" s="170"/>
      <c r="X63" s="153"/>
      <c r="AE63" s="163" t="s">
        <v>211</v>
      </c>
      <c r="AF63" s="163"/>
      <c r="AG63" s="163"/>
      <c r="AH63" s="163"/>
      <c r="AI63" s="169" t="str">
        <f aca="false">IF(COUNT(BT10:BT47)=0,"",AI62-AI64)</f>
        <v/>
      </c>
      <c r="AJ63" s="165" t="str">
        <f aca="false">IF(AI63="","",AI63/G$52)</f>
        <v/>
      </c>
      <c r="AK63" s="165"/>
      <c r="AL63" s="165"/>
      <c r="AM63" s="149"/>
      <c r="AN63" s="168" t="s">
        <v>146</v>
      </c>
      <c r="AO63" s="168"/>
      <c r="AP63" s="168"/>
      <c r="AQ63" s="169" t="str">
        <f aca="false">IF(COUNT(BT7:BT47)=0,"",COUNTIF(BT7:BT47,"&gt;=3"))</f>
        <v/>
      </c>
      <c r="AR63" s="169"/>
      <c r="AS63" s="169"/>
      <c r="AT63" s="165" t="str">
        <f aca="false">IF(AQ63="","",AQ63/AI64)</f>
        <v/>
      </c>
      <c r="AU63" s="165"/>
      <c r="AV63" s="165"/>
    </row>
    <row r="64" customFormat="false" ht="12.75" hidden="false" customHeight="false" outlineLevel="0" collapsed="false">
      <c r="B64" s="153"/>
      <c r="C64" s="163" t="s">
        <v>212</v>
      </c>
      <c r="D64" s="163"/>
      <c r="E64" s="163"/>
      <c r="F64" s="163"/>
      <c r="G64" s="169" t="str">
        <f aca="false">IF(COUNT(BJ10:BJ47)=0,"",G66+G67)</f>
        <v/>
      </c>
      <c r="H64" s="165" t="str">
        <f aca="false">IF(G64="","",G64/G$62)</f>
        <v/>
      </c>
      <c r="I64" s="165"/>
      <c r="J64" s="165"/>
      <c r="K64" s="165"/>
      <c r="L64" s="149"/>
      <c r="M64" s="171" t="s">
        <v>147</v>
      </c>
      <c r="N64" s="171"/>
      <c r="O64" s="171"/>
      <c r="P64" s="169" t="str">
        <f aca="false">IF(COUNT(BJ9:BJ47)=0,"",COUNTIF(BJ9:BJ47,"=2"))</f>
        <v/>
      </c>
      <c r="Q64" s="169"/>
      <c r="R64" s="169"/>
      <c r="S64" s="169"/>
      <c r="T64" s="165" t="str">
        <f aca="false">IF(P64="","",P64/G64)</f>
        <v/>
      </c>
      <c r="U64" s="165"/>
      <c r="V64" s="165"/>
      <c r="W64" s="170"/>
      <c r="X64" s="153"/>
      <c r="AE64" s="163" t="s">
        <v>212</v>
      </c>
      <c r="AF64" s="163"/>
      <c r="AG64" s="163"/>
      <c r="AH64" s="163"/>
      <c r="AI64" s="169" t="str">
        <f aca="false">IF(COUNT(BT10:BT47)=0,"",AI66+AI67)</f>
        <v/>
      </c>
      <c r="AJ64" s="165" t="str">
        <f aca="false">IF(AI64="","",AI64/G$52)</f>
        <v/>
      </c>
      <c r="AK64" s="165"/>
      <c r="AL64" s="165"/>
      <c r="AM64" s="149"/>
      <c r="AN64" s="171" t="s">
        <v>147</v>
      </c>
      <c r="AO64" s="171"/>
      <c r="AP64" s="171"/>
      <c r="AQ64" s="169" t="str">
        <f aca="false">IF(COUNT(BT7:BT47)=0,"",COUNTIF(BT7:BT47,"=2"))</f>
        <v/>
      </c>
      <c r="AR64" s="169"/>
      <c r="AS64" s="169"/>
      <c r="AT64" s="165" t="str">
        <f aca="false">IF(AQ64="","",AQ64/AI64)</f>
        <v/>
      </c>
      <c r="AU64" s="165"/>
      <c r="AV64" s="165"/>
    </row>
    <row r="65" customFormat="false" ht="12.75" hidden="false" customHeight="false" outlineLevel="0" collapsed="false">
      <c r="B65" s="153"/>
      <c r="L65" s="149"/>
      <c r="M65" s="172" t="s">
        <v>148</v>
      </c>
      <c r="N65" s="172"/>
      <c r="O65" s="172"/>
      <c r="P65" s="169" t="str">
        <f aca="false">IF(COUNT(BJ9:BJ47)=0,"",COUNTIF(BJ9:BJ47,"=1"))</f>
        <v/>
      </c>
      <c r="Q65" s="169"/>
      <c r="R65" s="169"/>
      <c r="S65" s="169"/>
      <c r="T65" s="165" t="str">
        <f aca="false">IF(P65="","",P65/G64)</f>
        <v/>
      </c>
      <c r="U65" s="165"/>
      <c r="V65" s="165"/>
      <c r="W65" s="170"/>
      <c r="X65" s="153"/>
      <c r="AM65" s="149"/>
      <c r="AN65" s="172" t="s">
        <v>148</v>
      </c>
      <c r="AO65" s="172"/>
      <c r="AP65" s="172"/>
      <c r="AQ65" s="169" t="str">
        <f aca="false">IF(COUNT(BT7:BT47)=0,"",COUNTIF(BT7:BT47,"=1"))</f>
        <v/>
      </c>
      <c r="AR65" s="169"/>
      <c r="AS65" s="169"/>
      <c r="AT65" s="165" t="str">
        <f aca="false">IF(AQ65="","",AQ65/AI64)</f>
        <v/>
      </c>
      <c r="AU65" s="165"/>
      <c r="AV65" s="165"/>
    </row>
    <row r="66" customFormat="false" ht="12.75" hidden="false" customHeight="false" outlineLevel="0" collapsed="false">
      <c r="B66" s="153"/>
      <c r="C66" s="163" t="s">
        <v>213</v>
      </c>
      <c r="D66" s="163"/>
      <c r="E66" s="163"/>
      <c r="F66" s="163"/>
      <c r="G66" s="169" t="str">
        <f aca="false">IF(COUNT(BJ10:BJ47)=0,"",COUNTIF(BJ10:BJ47,"&gt;= 2"))</f>
        <v/>
      </c>
      <c r="H66" s="165" t="str">
        <f aca="false">IF(G66="","",G66/G$64)</f>
        <v/>
      </c>
      <c r="I66" s="165"/>
      <c r="J66" s="165"/>
      <c r="K66" s="165"/>
      <c r="L66" s="149"/>
      <c r="M66" s="171" t="s">
        <v>149</v>
      </c>
      <c r="N66" s="171"/>
      <c r="O66" s="171"/>
      <c r="P66" s="169" t="str">
        <f aca="false">IF(COUNT(BJ9:BJ47)=0,"",COUNTIF(BJ9:BJ47,"=0"))</f>
        <v/>
      </c>
      <c r="Q66" s="169"/>
      <c r="R66" s="169"/>
      <c r="S66" s="169"/>
      <c r="T66" s="165" t="str">
        <f aca="false">IF(P66="","",P66/G64)</f>
        <v/>
      </c>
      <c r="U66" s="165"/>
      <c r="V66" s="165"/>
      <c r="W66" s="170"/>
      <c r="X66" s="153"/>
      <c r="AE66" s="163" t="s">
        <v>213</v>
      </c>
      <c r="AF66" s="163"/>
      <c r="AG66" s="163"/>
      <c r="AH66" s="163"/>
      <c r="AI66" s="169" t="str">
        <f aca="false">IF(COUNT(BT10:BT47)=0,"",COUNTIF(BT10:BT47,"&gt;= 2"))</f>
        <v/>
      </c>
      <c r="AJ66" s="165" t="str">
        <f aca="false">IF(AI66="","",AI66/AI$64)</f>
        <v/>
      </c>
      <c r="AK66" s="165"/>
      <c r="AL66" s="165"/>
      <c r="AM66" s="149"/>
      <c r="AN66" s="171" t="s">
        <v>149</v>
      </c>
      <c r="AO66" s="171"/>
      <c r="AP66" s="171"/>
      <c r="AQ66" s="169" t="str">
        <f aca="false">IF(COUNT(BT7:BT47)=0,"",COUNTIF(BT7:BT47,"=0"))</f>
        <v/>
      </c>
      <c r="AR66" s="169"/>
      <c r="AS66" s="169"/>
      <c r="AT66" s="165" t="str">
        <f aca="false">IF(AQ66="","",AQ66/AI64)</f>
        <v/>
      </c>
      <c r="AU66" s="165"/>
      <c r="AV66" s="165"/>
    </row>
    <row r="67" customFormat="false" ht="12.75" hidden="false" customHeight="false" outlineLevel="0" collapsed="false">
      <c r="C67" s="173" t="s">
        <v>214</v>
      </c>
      <c r="D67" s="173"/>
      <c r="E67" s="173"/>
      <c r="F67" s="173"/>
      <c r="G67" s="169" t="str">
        <f aca="false">IF(COUNT(BJ10:BJ47)=0,"",COUNTIF(BJ10:BJ47,"&lt;= 1") )</f>
        <v/>
      </c>
      <c r="H67" s="165" t="str">
        <f aca="false">IF(G67="","",G67/G$64)</f>
        <v/>
      </c>
      <c r="I67" s="165"/>
      <c r="J67" s="165"/>
      <c r="K67" s="165"/>
      <c r="M67" s="174" t="s">
        <v>215</v>
      </c>
      <c r="N67" s="174"/>
      <c r="O67" s="174"/>
      <c r="P67" s="175" t="n">
        <f aca="false">SUM(P63:S66)</f>
        <v>0</v>
      </c>
      <c r="Q67" s="175"/>
      <c r="R67" s="175"/>
      <c r="S67" s="175"/>
      <c r="T67" s="176" t="n">
        <f aca="false">SUM(T63:V66)</f>
        <v>0</v>
      </c>
      <c r="U67" s="176"/>
      <c r="V67" s="176"/>
      <c r="W67" s="177"/>
      <c r="AE67" s="173" t="s">
        <v>214</v>
      </c>
      <c r="AF67" s="173"/>
      <c r="AG67" s="173"/>
      <c r="AH67" s="173"/>
      <c r="AI67" s="169" t="str">
        <f aca="false">IF(COUNT(BT10:BT47)=0,"",COUNTIF(BT10:BT47,"&lt;= 1") )</f>
        <v/>
      </c>
      <c r="AJ67" s="165" t="str">
        <f aca="false">IF(AI67="","",AI67/AI$64)</f>
        <v/>
      </c>
      <c r="AK67" s="165"/>
      <c r="AL67" s="165"/>
      <c r="AN67" s="174" t="s">
        <v>215</v>
      </c>
      <c r="AO67" s="174"/>
      <c r="AP67" s="174"/>
      <c r="AQ67" s="175" t="n">
        <f aca="false">SUM(AQ63:AS66)</f>
        <v>0</v>
      </c>
      <c r="AR67" s="175"/>
      <c r="AS67" s="175"/>
      <c r="AT67" s="176" t="n">
        <f aca="false">SUM(AT63:AV66)</f>
        <v>0</v>
      </c>
      <c r="AU67" s="176"/>
      <c r="AV67" s="176"/>
    </row>
  </sheetData>
  <sheetProtection sheet="true" objects="true" scenarios="true"/>
  <mergeCells count="199">
    <mergeCell ref="C1:AJ2"/>
    <mergeCell ref="G3:I3"/>
    <mergeCell ref="K3:U3"/>
    <mergeCell ref="V3:X3"/>
    <mergeCell ref="Y3:Z3"/>
    <mergeCell ref="AE3:AK3"/>
    <mergeCell ref="G4:I4"/>
    <mergeCell ref="K4:U4"/>
    <mergeCell ref="V4:X4"/>
    <mergeCell ref="Y4:Z4"/>
    <mergeCell ref="AE4:AK4"/>
    <mergeCell ref="A6:A9"/>
    <mergeCell ref="B6:B9"/>
    <mergeCell ref="C6:AC6"/>
    <mergeCell ref="AD6:AD9"/>
    <mergeCell ref="AE6:AM6"/>
    <mergeCell ref="C7:J7"/>
    <mergeCell ref="K7:Q7"/>
    <mergeCell ref="R7:W7"/>
    <mergeCell ref="X7:AC7"/>
    <mergeCell ref="AE7:AM7"/>
    <mergeCell ref="C8:I8"/>
    <mergeCell ref="K8:P8"/>
    <mergeCell ref="R8:V8"/>
    <mergeCell ref="X8:AB8"/>
    <mergeCell ref="AE8:AI8"/>
    <mergeCell ref="AJ8:AM8"/>
    <mergeCell ref="AX8:BD8"/>
    <mergeCell ref="BE8:BJ8"/>
    <mergeCell ref="BK8:BO8"/>
    <mergeCell ref="BP8:BT8"/>
    <mergeCell ref="BU8:BU9"/>
    <mergeCell ref="BV8:BZ8"/>
    <mergeCell ref="CA8:CD8"/>
    <mergeCell ref="AN9:AV9"/>
    <mergeCell ref="AN10:AV10"/>
    <mergeCell ref="AN11:AV11"/>
    <mergeCell ref="AN12:AV12"/>
    <mergeCell ref="AN13:AV13"/>
    <mergeCell ref="AN14:AV14"/>
    <mergeCell ref="AN15:AV15"/>
    <mergeCell ref="AN16:AV16"/>
    <mergeCell ref="AN17:AV17"/>
    <mergeCell ref="AN18:AV18"/>
    <mergeCell ref="AN19:AV19"/>
    <mergeCell ref="AN20:AV20"/>
    <mergeCell ref="AN21:AV21"/>
    <mergeCell ref="AN22:AV22"/>
    <mergeCell ref="AN23:AV23"/>
    <mergeCell ref="AN24:AV24"/>
    <mergeCell ref="AN25:AV25"/>
    <mergeCell ref="AN26:AV26"/>
    <mergeCell ref="AN27:AV27"/>
    <mergeCell ref="AN28:AV28"/>
    <mergeCell ref="AN29:AV29"/>
    <mergeCell ref="AN30:AV30"/>
    <mergeCell ref="AN31:AV31"/>
    <mergeCell ref="AN32:AV32"/>
    <mergeCell ref="AN33:AV33"/>
    <mergeCell ref="AN34:AV34"/>
    <mergeCell ref="AN35:AV35"/>
    <mergeCell ref="AN36:AV36"/>
    <mergeCell ref="AN37:AV37"/>
    <mergeCell ref="AN38:AV38"/>
    <mergeCell ref="AN39:AV39"/>
    <mergeCell ref="AN40:AV40"/>
    <mergeCell ref="AN41:AV41"/>
    <mergeCell ref="AN42:AV42"/>
    <mergeCell ref="AN43:AV43"/>
    <mergeCell ref="AN44:AV44"/>
    <mergeCell ref="AN45:AV45"/>
    <mergeCell ref="AN46:AV46"/>
    <mergeCell ref="AN47:AV47"/>
    <mergeCell ref="G49:U49"/>
    <mergeCell ref="AI49:AU49"/>
    <mergeCell ref="B51:C51"/>
    <mergeCell ref="H51:K51"/>
    <mergeCell ref="M51:V51"/>
    <mergeCell ref="AJ51:AL51"/>
    <mergeCell ref="AN51:AV51"/>
    <mergeCell ref="C52:F52"/>
    <mergeCell ref="H52:K52"/>
    <mergeCell ref="M52:O52"/>
    <mergeCell ref="P52:S52"/>
    <mergeCell ref="T52:V52"/>
    <mergeCell ref="AE52:AH52"/>
    <mergeCell ref="AJ52:AL52"/>
    <mergeCell ref="AN52:AP52"/>
    <mergeCell ref="AQ52:AS52"/>
    <mergeCell ref="AT52:AV52"/>
    <mergeCell ref="C53:F53"/>
    <mergeCell ref="H53:K53"/>
    <mergeCell ref="M53:O53"/>
    <mergeCell ref="P53:S53"/>
    <mergeCell ref="T53:V53"/>
    <mergeCell ref="AE53:AH53"/>
    <mergeCell ref="AJ53:AL53"/>
    <mergeCell ref="AN53:AP53"/>
    <mergeCell ref="AQ53:AS53"/>
    <mergeCell ref="AT53:AV53"/>
    <mergeCell ref="C54:F54"/>
    <mergeCell ref="H54:K54"/>
    <mergeCell ref="M54:O54"/>
    <mergeCell ref="P54:S54"/>
    <mergeCell ref="T54:V54"/>
    <mergeCell ref="AE54:AH54"/>
    <mergeCell ref="AJ54:AL54"/>
    <mergeCell ref="AN54:AP54"/>
    <mergeCell ref="AQ54:AS54"/>
    <mergeCell ref="AT54:AV54"/>
    <mergeCell ref="M55:O55"/>
    <mergeCell ref="P55:S55"/>
    <mergeCell ref="T55:V55"/>
    <mergeCell ref="AN55:AP55"/>
    <mergeCell ref="AQ55:AS55"/>
    <mergeCell ref="AT55:AV55"/>
    <mergeCell ref="C56:F56"/>
    <mergeCell ref="H56:K56"/>
    <mergeCell ref="M56:O56"/>
    <mergeCell ref="P56:S56"/>
    <mergeCell ref="T56:V56"/>
    <mergeCell ref="AE56:AH56"/>
    <mergeCell ref="AJ56:AL56"/>
    <mergeCell ref="AN56:AP56"/>
    <mergeCell ref="AQ56:AS56"/>
    <mergeCell ref="AT56:AV56"/>
    <mergeCell ref="C57:F57"/>
    <mergeCell ref="H57:K57"/>
    <mergeCell ref="M57:O57"/>
    <mergeCell ref="P57:S57"/>
    <mergeCell ref="T57:V57"/>
    <mergeCell ref="AE57:AH57"/>
    <mergeCell ref="AJ57:AL57"/>
    <mergeCell ref="AN57:AP57"/>
    <mergeCell ref="AQ57:AS57"/>
    <mergeCell ref="AT57:AV57"/>
    <mergeCell ref="G59:U59"/>
    <mergeCell ref="AI59:AU59"/>
    <mergeCell ref="B61:C61"/>
    <mergeCell ref="H61:K61"/>
    <mergeCell ref="M61:V61"/>
    <mergeCell ref="AJ61:AL61"/>
    <mergeCell ref="AN61:AV61"/>
    <mergeCell ref="C62:F62"/>
    <mergeCell ref="H62:K62"/>
    <mergeCell ref="M62:O62"/>
    <mergeCell ref="P62:S62"/>
    <mergeCell ref="T62:V62"/>
    <mergeCell ref="AE62:AH62"/>
    <mergeCell ref="AJ62:AL62"/>
    <mergeCell ref="AN62:AP62"/>
    <mergeCell ref="AQ62:AS62"/>
    <mergeCell ref="AT62:AV62"/>
    <mergeCell ref="C63:F63"/>
    <mergeCell ref="H63:K63"/>
    <mergeCell ref="M63:O63"/>
    <mergeCell ref="P63:S63"/>
    <mergeCell ref="T63:V63"/>
    <mergeCell ref="AE63:AH63"/>
    <mergeCell ref="AJ63:AL63"/>
    <mergeCell ref="AN63:AP63"/>
    <mergeCell ref="AQ63:AS63"/>
    <mergeCell ref="AT63:AV63"/>
    <mergeCell ref="C64:F64"/>
    <mergeCell ref="H64:K64"/>
    <mergeCell ref="M64:O64"/>
    <mergeCell ref="P64:S64"/>
    <mergeCell ref="T64:V64"/>
    <mergeCell ref="AE64:AH64"/>
    <mergeCell ref="AJ64:AL64"/>
    <mergeCell ref="AN64:AP64"/>
    <mergeCell ref="AQ64:AS64"/>
    <mergeCell ref="AT64:AV64"/>
    <mergeCell ref="M65:O65"/>
    <mergeCell ref="P65:S65"/>
    <mergeCell ref="T65:V65"/>
    <mergeCell ref="AN65:AP65"/>
    <mergeCell ref="AQ65:AS65"/>
    <mergeCell ref="AT65:AV65"/>
    <mergeCell ref="C66:F66"/>
    <mergeCell ref="H66:K66"/>
    <mergeCell ref="M66:O66"/>
    <mergeCell ref="P66:S66"/>
    <mergeCell ref="T66:V66"/>
    <mergeCell ref="AE66:AH66"/>
    <mergeCell ref="AJ66:AL66"/>
    <mergeCell ref="AN66:AP66"/>
    <mergeCell ref="AQ66:AS66"/>
    <mergeCell ref="AT66:AV66"/>
    <mergeCell ref="C67:F67"/>
    <mergeCell ref="H67:K67"/>
    <mergeCell ref="M67:O67"/>
    <mergeCell ref="P67:S67"/>
    <mergeCell ref="T67:V67"/>
    <mergeCell ref="AE67:AH67"/>
    <mergeCell ref="AJ67:AL67"/>
    <mergeCell ref="AN67:AP67"/>
    <mergeCell ref="AQ67:AS67"/>
    <mergeCell ref="AT67:AV67"/>
  </mergeCells>
  <conditionalFormatting sqref="B10:B47">
    <cfRule type="cellIs" priority="2" operator="equal" aboveAverage="0" equalAverage="0" bottom="0" percent="0" rank="0" text="" dxfId="491">
      <formula>0</formula>
    </cfRule>
  </conditionalFormatting>
  <conditionalFormatting sqref="AM10:AM47">
    <cfRule type="containsText" priority="3" operator="containsText" aboveAverage="0" equalAverage="0" bottom="0" percent="0" rank="0" text="AD" dxfId="492">
      <formula>NOT(ISERROR(SEARCH("AD",AM10)))</formula>
    </cfRule>
    <cfRule type="containsText" priority="4" operator="containsText" aboveAverage="0" equalAverage="0" bottom="0" percent="0" rank="0" text="A" dxfId="493">
      <formula>NOT(ISERROR(SEARCH("A",AM10)))</formula>
    </cfRule>
    <cfRule type="containsText" priority="5" operator="containsText" aboveAverage="0" equalAverage="0" bottom="0" percent="0" rank="0" text="B" dxfId="494">
      <formula>NOT(ISERROR(SEARCH("B",AM10)))</formula>
    </cfRule>
    <cfRule type="containsText" priority="6" operator="containsText" aboveAverage="0" equalAverage="0" bottom="0" percent="0" rank="0" text="C" dxfId="495">
      <formula>NOT(ISERROR(SEARCH("C",AM10)))</formula>
    </cfRule>
  </conditionalFormatting>
  <conditionalFormatting sqref="AI10:AI47">
    <cfRule type="containsText" priority="7" operator="containsText" aboveAverage="0" equalAverage="0" bottom="0" percent="0" rank="0" text="AD" dxfId="496">
      <formula>NOT(ISERROR(SEARCH("AD",AI10)))</formula>
    </cfRule>
    <cfRule type="containsText" priority="8" operator="containsText" aboveAverage="0" equalAverage="0" bottom="0" percent="0" rank="0" text="A" dxfId="497">
      <formula>NOT(ISERROR(SEARCH("A",AI10)))</formula>
    </cfRule>
    <cfRule type="containsText" priority="9" operator="containsText" aboveAverage="0" equalAverage="0" bottom="0" percent="0" rank="0" text="B" dxfId="498">
      <formula>NOT(ISERROR(SEARCH("B",AI10)))</formula>
    </cfRule>
    <cfRule type="containsText" priority="10" operator="containsText" aboveAverage="0" equalAverage="0" bottom="0" percent="0" rank="0" text="C" dxfId="499">
      <formula>NOT(ISERROR(SEARCH("C",AI10)))</formula>
    </cfRule>
  </conditionalFormatting>
  <conditionalFormatting sqref="AC47 AB10:AC46 AB47">
    <cfRule type="containsText" priority="11" operator="containsText" aboveAverage="0" equalAverage="0" bottom="0" percent="0" rank="0" text="AD" dxfId="500">
      <formula>NOT(ISERROR(SEARCH("AD",AB10)))</formula>
    </cfRule>
    <cfRule type="containsText" priority="12" operator="containsText" aboveAverage="0" equalAverage="0" bottom="0" percent="0" rank="0" text="A" dxfId="501">
      <formula>NOT(ISERROR(SEARCH("A",AB10)))</formula>
    </cfRule>
    <cfRule type="containsText" priority="13" operator="containsText" aboveAverage="0" equalAverage="0" bottom="0" percent="0" rank="0" text="B" dxfId="502">
      <formula>NOT(ISERROR(SEARCH("B",AB10)))</formula>
    </cfRule>
    <cfRule type="containsText" priority="14" operator="containsText" aboveAverage="0" equalAverage="0" bottom="0" percent="0" rank="0" text="C" dxfId="503">
      <formula>NOT(ISERROR(SEARCH("C",AB10)))</formula>
    </cfRule>
  </conditionalFormatting>
  <conditionalFormatting sqref="W47 V10:W46 V47">
    <cfRule type="containsText" priority="15" operator="containsText" aboveAverage="0" equalAverage="0" bottom="0" percent="0" rank="0" text="AD" dxfId="504">
      <formula>NOT(ISERROR(SEARCH("AD",V10)))</formula>
    </cfRule>
    <cfRule type="containsText" priority="16" operator="containsText" aboveAverage="0" equalAverage="0" bottom="0" percent="0" rank="0" text="A" dxfId="505">
      <formula>NOT(ISERROR(SEARCH("A",V10)))</formula>
    </cfRule>
    <cfRule type="containsText" priority="17" operator="containsText" aboveAverage="0" equalAverage="0" bottom="0" percent="0" rank="0" text="B" dxfId="506">
      <formula>NOT(ISERROR(SEARCH("B",V10)))</formula>
    </cfRule>
    <cfRule type="containsText" priority="18" operator="containsText" aboveAverage="0" equalAverage="0" bottom="0" percent="0" rank="0" text="C" dxfId="507">
      <formula>NOT(ISERROR(SEARCH("C",V10)))</formula>
    </cfRule>
  </conditionalFormatting>
  <conditionalFormatting sqref="Q47 P10:Q46 P47">
    <cfRule type="containsText" priority="19" operator="containsText" aboveAverage="0" equalAverage="0" bottom="0" percent="0" rank="0" text="AD" dxfId="508">
      <formula>NOT(ISERROR(SEARCH("AD",P10)))</formula>
    </cfRule>
    <cfRule type="containsText" priority="20" operator="containsText" aboveAverage="0" equalAverage="0" bottom="0" percent="0" rank="0" text="A" dxfId="509">
      <formula>NOT(ISERROR(SEARCH("A",P10)))</formula>
    </cfRule>
    <cfRule type="containsText" priority="21" operator="containsText" aboveAverage="0" equalAverage="0" bottom="0" percent="0" rank="0" text="B" dxfId="510">
      <formula>NOT(ISERROR(SEARCH("B",P10)))</formula>
    </cfRule>
    <cfRule type="containsText" priority="22" operator="containsText" aboveAverage="0" equalAverage="0" bottom="0" percent="0" rank="0" text="C" dxfId="511">
      <formula>NOT(ISERROR(SEARCH("C",P10)))</formula>
    </cfRule>
  </conditionalFormatting>
  <conditionalFormatting sqref="J47 I10:J46 I47">
    <cfRule type="containsText" priority="23" operator="containsText" aboveAverage="0" equalAverage="0" bottom="0" percent="0" rank="0" text="AD" dxfId="512">
      <formula>NOT(ISERROR(SEARCH("AD",I10)))</formula>
    </cfRule>
    <cfRule type="containsText" priority="24" operator="containsText" aboveAverage="0" equalAverage="0" bottom="0" percent="0" rank="0" text="A" dxfId="513">
      <formula>NOT(ISERROR(SEARCH("A",I10)))</formula>
    </cfRule>
    <cfRule type="containsText" priority="25" operator="containsText" aboveAverage="0" equalAverage="0" bottom="0" percent="0" rank="0" text="B" dxfId="514">
      <formula>NOT(ISERROR(SEARCH("B",I10)))</formula>
    </cfRule>
    <cfRule type="containsText" priority="26" operator="containsText" aboveAverage="0" equalAverage="0" bottom="0" percent="0" rank="0" text="C" dxfId="515">
      <formula>NOT(ISERROR(SEARCH("C",I10)))</formula>
    </cfRule>
  </conditionalFormatting>
  <conditionalFormatting sqref="AL47 AJ10:AL46 AJ47:AK47">
    <cfRule type="containsText" priority="27" operator="containsText" aboveAverage="0" equalAverage="0" bottom="0" percent="0" rank="0" text="A" dxfId="516">
      <formula>NOT(ISERROR(SEARCH("A",AJ10)))</formula>
    </cfRule>
    <cfRule type="containsText" priority="28" operator="containsText" aboveAverage="0" equalAverage="0" bottom="0" percent="0" rank="0" text="C" dxfId="517">
      <formula>NOT(ISERROR(SEARCH("C",AJ10)))</formula>
    </cfRule>
    <cfRule type="containsText" priority="29" operator="containsText" aboveAverage="0" equalAverage="0" bottom="0" percent="0" rank="0" text="B" dxfId="518">
      <formula>NOT(ISERROR(SEARCH("B",AJ10)))</formula>
    </cfRule>
    <cfRule type="containsText" priority="30" operator="containsText" aboveAverage="0" equalAverage="0" bottom="0" percent="0" rank="0" text="AD" dxfId="519">
      <formula>NOT(ISERROR(SEARCH("AD",AJ10)))</formula>
    </cfRule>
  </conditionalFormatting>
  <conditionalFormatting sqref="AH47 AE10:AH46 AE47:AG47">
    <cfRule type="containsText" priority="31" operator="containsText" aboveAverage="0" equalAverage="0" bottom="0" percent="0" rank="0" text="A" dxfId="520">
      <formula>NOT(ISERROR(SEARCH("A",AE10)))</formula>
    </cfRule>
    <cfRule type="containsText" priority="32" operator="containsText" aboveAverage="0" equalAverage="0" bottom="0" percent="0" rank="0" text="C" dxfId="521">
      <formula>NOT(ISERROR(SEARCH("C",AE10)))</formula>
    </cfRule>
    <cfRule type="containsText" priority="33" operator="containsText" aboveAverage="0" equalAverage="0" bottom="0" percent="0" rank="0" text="B" dxfId="522">
      <formula>NOT(ISERROR(SEARCH("B",AE10)))</formula>
    </cfRule>
    <cfRule type="containsText" priority="34" operator="containsText" aboveAverage="0" equalAverage="0" bottom="0" percent="0" rank="0" text="AD" dxfId="523">
      <formula>NOT(ISERROR(SEARCH("AD",AE10)))</formula>
    </cfRule>
  </conditionalFormatting>
  <conditionalFormatting sqref="AA47 X10:AA46 X47:Z47">
    <cfRule type="containsText" priority="35" operator="containsText" aboveAverage="0" equalAverage="0" bottom="0" percent="0" rank="0" text="A" dxfId="524">
      <formula>NOT(ISERROR(SEARCH("A",X10)))</formula>
    </cfRule>
    <cfRule type="containsText" priority="36" operator="containsText" aboveAverage="0" equalAverage="0" bottom="0" percent="0" rank="0" text="C" dxfId="525">
      <formula>NOT(ISERROR(SEARCH("C",X10)))</formula>
    </cfRule>
    <cfRule type="containsText" priority="37" operator="containsText" aboveAverage="0" equalAverage="0" bottom="0" percent="0" rank="0" text="B" dxfId="526">
      <formula>NOT(ISERROR(SEARCH("B",X10)))</formula>
    </cfRule>
    <cfRule type="containsText" priority="38" operator="containsText" aboveAverage="0" equalAverage="0" bottom="0" percent="0" rank="0" text="AD" dxfId="527">
      <formula>NOT(ISERROR(SEARCH("AD",X10)))</formula>
    </cfRule>
  </conditionalFormatting>
  <conditionalFormatting sqref="U47 R10:U46 R47:T47">
    <cfRule type="containsText" priority="39" operator="containsText" aboveAverage="0" equalAverage="0" bottom="0" percent="0" rank="0" text="A" dxfId="528">
      <formula>NOT(ISERROR(SEARCH("A",R10)))</formula>
    </cfRule>
    <cfRule type="containsText" priority="40" operator="containsText" aboveAverage="0" equalAverage="0" bottom="0" percent="0" rank="0" text="C" dxfId="529">
      <formula>NOT(ISERROR(SEARCH("C",R10)))</formula>
    </cfRule>
    <cfRule type="containsText" priority="41" operator="containsText" aboveAverage="0" equalAverage="0" bottom="0" percent="0" rank="0" text="B" dxfId="530">
      <formula>NOT(ISERROR(SEARCH("B",R10)))</formula>
    </cfRule>
    <cfRule type="containsText" priority="42" operator="containsText" aboveAverage="0" equalAverage="0" bottom="0" percent="0" rank="0" text="AD" dxfId="531">
      <formula>NOT(ISERROR(SEARCH("AD",R10)))</formula>
    </cfRule>
  </conditionalFormatting>
  <conditionalFormatting sqref="O47 K10:O46 K47:N47">
    <cfRule type="containsText" priority="43" operator="containsText" aboveAverage="0" equalAverage="0" bottom="0" percent="0" rank="0" text="A" dxfId="532">
      <formula>NOT(ISERROR(SEARCH("A",K10)))</formula>
    </cfRule>
    <cfRule type="containsText" priority="44" operator="containsText" aboveAverage="0" equalAverage="0" bottom="0" percent="0" rank="0" text="C" dxfId="533">
      <formula>NOT(ISERROR(SEARCH("C",K10)))</formula>
    </cfRule>
    <cfRule type="containsText" priority="45" operator="containsText" aboveAverage="0" equalAverage="0" bottom="0" percent="0" rank="0" text="B" dxfId="534">
      <formula>NOT(ISERROR(SEARCH("B",K10)))</formula>
    </cfRule>
    <cfRule type="containsText" priority="46" operator="containsText" aboveAverage="0" equalAverage="0" bottom="0" percent="0" rank="0" text="AD" dxfId="535">
      <formula>NOT(ISERROR(SEARCH("AD",K10)))</formula>
    </cfRule>
  </conditionalFormatting>
  <conditionalFormatting sqref="H47 C10:H46 C47:G47">
    <cfRule type="containsText" priority="47" operator="containsText" aboveAverage="0" equalAverage="0" bottom="0" percent="0" rank="0" text="A" dxfId="536">
      <formula>NOT(ISERROR(SEARCH("A",C10)))</formula>
    </cfRule>
    <cfRule type="containsText" priority="48" operator="containsText" aboveAverage="0" equalAverage="0" bottom="0" percent="0" rank="0" text="C" dxfId="537">
      <formula>NOT(ISERROR(SEARCH("C",C10)))</formula>
    </cfRule>
    <cfRule type="containsText" priority="49" operator="containsText" aboveAverage="0" equalAverage="0" bottom="0" percent="0" rank="0" text="B" dxfId="538">
      <formula>NOT(ISERROR(SEARCH("B",C10)))</formula>
    </cfRule>
    <cfRule type="containsText" priority="50" operator="containsText" aboveAverage="0" equalAverage="0" bottom="0" percent="0" rank="0" text="AD" dxfId="539">
      <formula>NOT(ISERROR(SEARCH("AD",C10)))</formula>
    </cfRule>
  </conditionalFormatting>
  <dataValidations count="4">
    <dataValidation allowBlank="true" error="Sólo puede introducir notas no decimales de 0 a 20." errorStyle="stop" errorTitle="¡NOTA NO VÁLIDA!" operator="between" showDropDown="false" showErrorMessage="true" showInputMessage="true" sqref="C48:H48 K48:O48 S48:T48 X48:AA48 C49:F49 C50:G50 K50:L50 O50:S50 AE50:AI50 AL50:AM50 AP50:AS50 C60:G60 K60:L60 O60:S60 AE60:AI60 AL60:AM60 AP60:AS60" type="whole">
      <formula1>0</formula1>
      <formula2>20</formula2>
    </dataValidation>
    <dataValidation allowBlank="true" error="Sólo puede introducir notas no decimales de 0 a 20." errorStyle="stop" errorTitle="¡NOTA NO VÁLIDA!" operator="between" showDropDown="false" showErrorMessage="true" showInputMessage="true" sqref="I10:J48 P10:Q48 V10:W48 AB10:AC47 AI10:AI47 AM10:AM47 AB48:AD48 B49:B50 H50 N50 T50 X50 AJ50 AO50 AT50 B60 H60 N60 T60 X60 AJ60 AO60 AT60" type="none">
      <formula1>0</formula1>
      <formula2>0</formula2>
    </dataValidation>
    <dataValidation allowBlank="true" error="Sólo puede introducir notas no decimales entre 0 y 20." errorStyle="stop" errorTitle="¡NOTA NO VÁLIDA!" operator="between" showDropDown="false" showErrorMessage="true" showInputMessage="true" sqref="R48 U48 I50:J50 M50 AK50 AN50 I60:J60 M60 AK60 AN60" type="whole">
      <formula1>0</formula1>
      <formula2>20</formula2>
    </dataValidation>
    <dataValidation allowBlank="true" errorStyle="stop" operator="between" showDropDown="false" showErrorMessage="true" showInputMessage="true" sqref="C10:H47 K10:O47 R10:U47 X10:AA47 AE10:AH47 AJ10:AL47" type="list">
      <formula1>'Competencias y capacidades'!$F$58:$F$61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1998-05-19T15:52:33Z</dcterms:created>
  <dc:creator>Angelo Abanto</dc:creator>
  <dc:description/>
  <dc:language>en-US</dc:language>
  <cp:lastModifiedBy/>
  <cp:lastPrinted>2023-05-29T15:25:58Z</cp:lastPrinted>
  <dcterms:modified xsi:type="dcterms:W3CDTF">2026-10-16T23:43:16Z</dcterms:modified>
  <cp:revision>1</cp:revision>
  <dc:subject/>
  <dc:title>REGISTRO AUXILIAR DE SECUNDARIA DCB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